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venkat/Downloads/Ecofin sem 4/Intro to mathematical finance/LP2/"/>
    </mc:Choice>
  </mc:AlternateContent>
  <xr:revisionPtr revIDLastSave="0" documentId="13_ncr:1_{BC61AE17-7AB2-3144-9EE8-5D1D908E3AE3}" xr6:coauthVersionLast="47" xr6:coauthVersionMax="47" xr10:uidLastSave="{00000000-0000-0000-0000-000000000000}"/>
  <bookViews>
    <workbookView xWindow="4060" yWindow="1880" windowWidth="19420" windowHeight="10420" firstSheet="4" activeTab="9" xr2:uid="{A65A8A2A-B78A-4D24-B5EC-89F1B7A053EF}"/>
  </bookViews>
  <sheets>
    <sheet name="Data" sheetId="1" r:id="rId1"/>
    <sheet name="Revised_Data" sheetId="6" r:id="rId2"/>
    <sheet name="Regression_Base_Output" sheetId="7" r:id="rId3"/>
    <sheet name="log_Transformed_Data" sheetId="11" r:id="rId4"/>
    <sheet name="Histograms" sheetId="15" r:id="rId5"/>
    <sheet name="Regression_log_Output" sheetId="12" r:id="rId6"/>
    <sheet name="Summary_stats" sheetId="2" r:id="rId7"/>
    <sheet name="Formatted_Data" sheetId="13" r:id="rId8"/>
    <sheet name="Correlation_Matrix" sheetId="14" r:id="rId9"/>
    <sheet name="Regression_Comparison" sheetId="16" r:id="rId10"/>
    <sheet name="Sheet7" sheetId="8" state="hidden" r:id="rId11"/>
    <sheet name="Regression_log" sheetId="5" state="hidden" r:id="rId12"/>
  </sheets>
  <definedNames>
    <definedName name="_xlchart.v1.0" hidden="1">log_Transformed_Data!$F$1</definedName>
    <definedName name="_xlchart.v1.1" hidden="1">log_Transformed_Data!$F$2:$F$143</definedName>
    <definedName name="_xlchart.v1.10" hidden="1">Revised_Data!$F$1</definedName>
    <definedName name="_xlchart.v1.11" hidden="1">Revised_Data!$F$2:$F$143</definedName>
    <definedName name="_xlchart.v1.12" hidden="1">Revised_Data!$F$1</definedName>
    <definedName name="_xlchart.v1.13" hidden="1">Revised_Data!$F$2:$F$143</definedName>
    <definedName name="_xlchart.v1.14" hidden="1">Revised_Data!$F$1</definedName>
    <definedName name="_xlchart.v1.15" hidden="1">Revised_Data!$F$2:$F$143</definedName>
    <definedName name="_xlchart.v1.16" hidden="1">Revised_Data!$F$1</definedName>
    <definedName name="_xlchart.v1.17" hidden="1">Revised_Data!$F$2:$F$143</definedName>
    <definedName name="_xlchart.v1.18" hidden="1">Revised_Data!$F$1</definedName>
    <definedName name="_xlchart.v1.19" hidden="1">Revised_Data!$F$2:$F$143</definedName>
    <definedName name="_xlchart.v1.2" hidden="1">log_Transformed_Data!$F$1</definedName>
    <definedName name="_xlchart.v1.20" hidden="1">log_Transformed_Data!$F$1</definedName>
    <definedName name="_xlchart.v1.21" hidden="1">log_Transformed_Data!$F$2:$F$143</definedName>
    <definedName name="_xlchart.v1.22" hidden="1">log_Transformed_Data!$E$1</definedName>
    <definedName name="_xlchart.v1.23" hidden="1">log_Transformed_Data!$E$2:$E$143</definedName>
    <definedName name="_xlchart.v1.24" hidden="1">Revised_Data!$E$1</definedName>
    <definedName name="_xlchart.v1.25" hidden="1">Revised_Data!$E$2:$E$143</definedName>
    <definedName name="_xlchart.v1.26" hidden="1">Revised_Data!$F$1</definedName>
    <definedName name="_xlchart.v1.27" hidden="1">Revised_Data!$F$2:$F$143</definedName>
    <definedName name="_xlchart.v1.28" hidden="1">log_Transformed_Data!$F$1</definedName>
    <definedName name="_xlchart.v1.29" hidden="1">log_Transformed_Data!$F$2:$F$143</definedName>
    <definedName name="_xlchart.v1.3" hidden="1">log_Transformed_Data!$F$2:$F$143</definedName>
    <definedName name="_xlchart.v1.30" hidden="1">log_Transformed_Data!$F$1</definedName>
    <definedName name="_xlchart.v1.31" hidden="1">log_Transformed_Data!$F$2:$F$143</definedName>
    <definedName name="_xlchart.v1.4" hidden="1">log_Transformed_Data!$E$1</definedName>
    <definedName name="_xlchart.v1.5" hidden="1">log_Transformed_Data!$E$2:$E$143</definedName>
    <definedName name="_xlchart.v1.6" hidden="1">log_Transformed_Data!$F$1</definedName>
    <definedName name="_xlchart.v1.7" hidden="1">log_Transformed_Data!$F$2:$F$143</definedName>
    <definedName name="_xlchart.v1.8" hidden="1">Revised_Data!$F$1</definedName>
    <definedName name="_xlchart.v1.9" hidden="1">Revised_Data!$F$2:$F$143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6" l="1"/>
  <c r="B21" i="16"/>
  <c r="B22" i="16"/>
  <c r="B23" i="16"/>
  <c r="B24" i="16"/>
  <c r="B19" i="16"/>
  <c r="C20" i="16"/>
  <c r="C21" i="16"/>
  <c r="C22" i="16"/>
  <c r="C23" i="16"/>
  <c r="C24" i="16"/>
  <c r="C19" i="16"/>
  <c r="B5" i="16"/>
  <c r="B4" i="16"/>
  <c r="B3" i="16"/>
  <c r="B2" i="16"/>
  <c r="C5" i="16"/>
  <c r="C4" i="16"/>
  <c r="C3" i="16"/>
  <c r="C2" i="16"/>
  <c r="B10" i="16"/>
  <c r="B11" i="16"/>
  <c r="B12" i="16"/>
  <c r="B13" i="16"/>
  <c r="B14" i="16"/>
  <c r="B15" i="16"/>
  <c r="B9" i="16"/>
  <c r="C10" i="16"/>
  <c r="C11" i="16"/>
  <c r="C12" i="16"/>
  <c r="C13" i="16"/>
  <c r="C14" i="16"/>
  <c r="C15" i="16"/>
  <c r="C9" i="16"/>
  <c r="C5" i="2"/>
  <c r="F8" i="2"/>
  <c r="F7" i="2"/>
  <c r="F6" i="2"/>
  <c r="F5" i="2"/>
  <c r="F4" i="2"/>
  <c r="F3" i="2"/>
  <c r="F2" i="2"/>
  <c r="E8" i="2"/>
  <c r="E7" i="2"/>
  <c r="E6" i="2"/>
  <c r="E5" i="2"/>
  <c r="E4" i="2"/>
  <c r="E3" i="2"/>
  <c r="E2" i="2"/>
  <c r="D8" i="2"/>
  <c r="D7" i="2"/>
  <c r="D6" i="2"/>
  <c r="D5" i="2"/>
  <c r="D4" i="2"/>
  <c r="D3" i="2"/>
  <c r="C3" i="2"/>
  <c r="D2" i="2"/>
  <c r="C7" i="2"/>
  <c r="C8" i="2"/>
  <c r="C6" i="2"/>
  <c r="C4" i="2"/>
  <c r="C2" i="2"/>
  <c r="B2" i="2"/>
  <c r="B8" i="2"/>
  <c r="B6" i="2"/>
  <c r="B7" i="2"/>
  <c r="B5" i="2"/>
  <c r="B4" i="2"/>
  <c r="B3" i="2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2" i="6"/>
</calcChain>
</file>

<file path=xl/sharedStrings.xml><?xml version="1.0" encoding="utf-8"?>
<sst xmlns="http://schemas.openxmlformats.org/spreadsheetml/2006/main" count="149" uniqueCount="54">
  <si>
    <t>roe</t>
  </si>
  <si>
    <t>dkr</t>
  </si>
  <si>
    <t>eps</t>
  </si>
  <si>
    <t>netinc</t>
  </si>
  <si>
    <t>sp14</t>
  </si>
  <si>
    <t>sp18</t>
  </si>
  <si>
    <t>return</t>
  </si>
  <si>
    <t>roc</t>
  </si>
  <si>
    <t>sal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</si>
  <si>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</si>
  <si>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</si>
  <si>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</si>
  <si>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</si>
  <si>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</si>
  <si>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</si>
  <si>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</si>
  <si>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</si>
  <si>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</si>
  <si>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</si>
  <si>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</si>
  <si>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</si>
  <si>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</si>
  <si>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</si>
  <si>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</si>
  <si>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</si>
  <si>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</si>
  <si>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</si>
  <si>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</si>
  <si>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</si>
  <si>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</si>
  <si>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</si>
  <si>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</si>
  <si>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</si>
  <si>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log_netinc</t>
  </si>
  <si>
    <t>log_sal</t>
  </si>
  <si>
    <t>Variable</t>
  </si>
  <si>
    <t>Mean</t>
  </si>
  <si>
    <t>Median</t>
  </si>
  <si>
    <t>Min</t>
  </si>
  <si>
    <t>Max</t>
  </si>
  <si>
    <t>Std Dev</t>
  </si>
  <si>
    <t>Metric</t>
  </si>
  <si>
    <t>Base Model</t>
  </si>
  <si>
    <t>Log Model</t>
  </si>
  <si>
    <t>R²</t>
  </si>
  <si>
    <t>Adjusted R²</t>
  </si>
  <si>
    <t>F-statistic</t>
  </si>
  <si>
    <t>F-test p-value</t>
  </si>
  <si>
    <t>Base</t>
  </si>
  <si>
    <t>Log</t>
  </si>
  <si>
    <t>netinc / log(netinc)</t>
  </si>
  <si>
    <t>sal / log(sal)</t>
  </si>
  <si>
    <t>Co-effecients:</t>
  </si>
  <si>
    <t>p-values: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</si>
</sst>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"/>
    <numFmt numFmtId="170" formatCode="0.000"/>
  </numFmts>
  <fonts count="4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168" fontId="0" fillId="0" borderId="0" xfId="0" applyNumberFormat="1"/>
    <xf numFmtId="170" fontId="0" fillId="0" borderId="0" xfId="0" applyNumberFormat="1"/>
    <xf numFmtId="2" fontId="0" fillId="0" borderId="0" xfId="0" applyNumberFormat="1"/>
    <xf numFmtId="2" fontId="3" fillId="0" borderId="0" xfId="0" applyNumberFormat="1" applyFont="1"/>
    <xf numFmtId="170" fontId="3" fillId="0" borderId="0" xfId="0" applyNumberFormat="1" applyFont="1"/>
    <xf numFmtId="170" fontId="0" fillId="0" borderId="0" xfId="0" applyNumberFormat="1" applyFill="1" applyBorder="1" applyAlignment="1"/>
    <xf numFmtId="170" fontId="0" fillId="0" borderId="1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</cx:chartData>
  <cx:chart>
    <cx:title pos="t" align="ctr" overlay="0">
      <cx:tx>
        <cx:txData>
          <cx:v>Distribution of Net Income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Net Income</a:t>
          </a:r>
        </a:p>
      </cx:txPr>
    </cx:title>
    <cx:plotArea>
      <cx:plotAreaRegion>
        <cx:series layoutId="clusteredColumn" uniqueId="{B0E7A17A-F396-BA45-A251-C28D3910BF62}">
          <cx:tx>
            <cx:txData>
              <cx:f>_xlchart.v1.24</cx:f>
              <cx:v>netinc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Net Income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Net Income</a:t>
              </a:r>
            </a:p>
          </cx:txPr>
        </cx:title>
        <cx:tickLabels/>
      </cx:axis>
      <cx:axis id="1" hidden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  <cx:spPr>
    <a:ln>
      <a:solidFill>
        <a:schemeClr val="tx1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>
      <cx:tx>
        <cx:txData>
          <cx:v>Distribution of Salaries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Salaries</a:t>
          </a:r>
        </a:p>
      </cx:txPr>
    </cx:title>
    <cx:plotArea>
      <cx:plotAreaRegion>
        <cx:series layoutId="clusteredColumn" uniqueId="{B2489465-DAF8-D643-B1D9-D43B97378305}">
          <cx:tx>
            <cx:txData>
              <cx:f>_xlchart.v1.16</cx:f>
              <cx:v>sal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Salaries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Salaries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  <cx:spPr>
    <a:ln>
      <a:solidFill>
        <a:schemeClr val="tx1"/>
      </a:solidFill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title pos="t" align="ctr" overlay="0">
      <cx:tx>
        <cx:txData>
          <cx:v>Distribution of log(Net Income)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log(Net Income)</a:t>
          </a:r>
        </a:p>
      </cx:txPr>
    </cx:title>
    <cx:plotArea>
      <cx:plotAreaRegion>
        <cx:series layoutId="clusteredColumn" uniqueId="{C0D91A9E-0658-EA4D-BBFE-777C211DF893}">
          <cx:tx>
            <cx:txData>
              <cx:f>_xlchart.v1.22</cx:f>
              <cx:v>log_netinc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log(Net Income)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log(Net Income)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  <cx:spPr>
    <a:ln>
      <a:solidFill>
        <a:schemeClr val="tx1"/>
      </a:solidFill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</cx:chartData>
  <cx:chart>
    <cx:title pos="t" align="ctr" overlay="0">
      <cx:tx>
        <cx:txData>
          <cx:v>Distribution of log(Salaries)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log(Salaries)</a:t>
          </a:r>
        </a:p>
      </cx:txPr>
    </cx:title>
    <cx:plotArea>
      <cx:plotAreaRegion>
        <cx:plotSurface>
          <cx:spPr>
            <a:ln>
              <a:solidFill>
                <a:schemeClr val="tx1"/>
              </a:solidFill>
            </a:ln>
          </cx:spPr>
        </cx:plotSurface>
        <cx:series layoutId="clusteredColumn" uniqueId="{EB440118-D305-D341-B870-F190980DF534}">
          <cx:tx>
            <cx:txData>
              <cx:f>_xlchart.v1.28</cx:f>
              <cx:v>log_sal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log(Salaries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log(Salaries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  <cx:spPr>
    <a:ln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812800</xdr:colOff>
      <xdr:row>2</xdr:row>
      <xdr:rowOff>0</xdr:rowOff>
    </xdr:from>
    <xdr:to>
      <xdr:col>7</xdr:col>
      <xdr:colOff>12700</xdr:colOff>
      <xdr:row>19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974119D-A255-5747-A5FE-D10C784996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2800" y="330200"/>
              <a:ext cx="4978400" cy="2819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21</xdr:row>
      <xdr:rowOff>0</xdr:rowOff>
    </xdr:from>
    <xdr:to>
      <xdr:col>6</xdr:col>
      <xdr:colOff>812800</xdr:colOff>
      <xdr:row>38</xdr:row>
      <xdr:rowOff>8466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F3128A8-9FAD-5F4E-A247-60A83FB47E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5500" y="3467100"/>
              <a:ext cx="4940300" cy="28151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12700</xdr:colOff>
      <xdr:row>1</xdr:row>
      <xdr:rowOff>152400</xdr:rowOff>
    </xdr:from>
    <xdr:to>
      <xdr:col>13</xdr:col>
      <xdr:colOff>812800</xdr:colOff>
      <xdr:row>19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604FB2E-FE40-C24E-A1D7-AE6899C7A7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16700" y="317500"/>
              <a:ext cx="4927600" cy="2819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12700</xdr:colOff>
      <xdr:row>21</xdr:row>
      <xdr:rowOff>0</xdr:rowOff>
    </xdr:from>
    <xdr:to>
      <xdr:col>14</xdr:col>
      <xdr:colOff>0</xdr:colOff>
      <xdr:row>38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8B9D8CA-310F-934E-B878-53A8D51C49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16700" y="3467100"/>
              <a:ext cx="4940300" cy="2806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EF416-9E10-48EF-892E-24FBF168788F}">
  <dimension ref="A1:I143"/>
  <sheetViews>
    <sheetView topLeftCell="B1" workbookViewId="0">
      <pane ySplit="1" topLeftCell="A114" activePane="bottomLeft" state="frozen"/>
      <selection pane="bottomLeft" activeCell="N135" sqref="N135"/>
    </sheetView>
  </sheetViews>
  <sheetFormatPr baseColWidth="10" defaultColWidth="8.83203125" defaultRowHeight="13" x14ac:dyDescent="0.15"/>
  <sheetData>
    <row r="1" spans="1:9" s="1" customFormat="1" x14ac:dyDescent="0.1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6</v>
      </c>
    </row>
    <row r="2" spans="1:9" x14ac:dyDescent="0.15">
      <c r="A2">
        <v>18.7</v>
      </c>
      <c r="B2">
        <v>17.399999999999999</v>
      </c>
      <c r="C2">
        <v>4</v>
      </c>
      <c r="D2">
        <v>48.1</v>
      </c>
      <c r="E2">
        <v>1144</v>
      </c>
      <c r="F2">
        <v>59.375</v>
      </c>
      <c r="G2">
        <v>47</v>
      </c>
      <c r="H2">
        <v>1090</v>
      </c>
      <c r="I2">
        <v>-20.842110000000002</v>
      </c>
    </row>
    <row r="3" spans="1:9" x14ac:dyDescent="0.15">
      <c r="A3">
        <v>1.6</v>
      </c>
      <c r="B3">
        <v>2.4</v>
      </c>
      <c r="C3">
        <v>27.3</v>
      </c>
      <c r="D3">
        <v>-85.3</v>
      </c>
      <c r="E3">
        <v>35</v>
      </c>
      <c r="F3">
        <v>47.875</v>
      </c>
      <c r="G3">
        <v>43.5</v>
      </c>
      <c r="H3">
        <v>1923</v>
      </c>
      <c r="I3">
        <v>-9.1383810000000008</v>
      </c>
    </row>
    <row r="4" spans="1:9" x14ac:dyDescent="0.15">
      <c r="A4">
        <v>4.9000000000000004</v>
      </c>
      <c r="B4">
        <v>4.5999999999999996</v>
      </c>
      <c r="C4">
        <v>36.799999999999997</v>
      </c>
      <c r="D4">
        <v>-44.1</v>
      </c>
      <c r="E4">
        <v>127</v>
      </c>
      <c r="F4">
        <v>39</v>
      </c>
      <c r="G4">
        <v>72.625</v>
      </c>
      <c r="H4">
        <v>1012</v>
      </c>
      <c r="I4">
        <v>86.217950000000002</v>
      </c>
    </row>
    <row r="5" spans="1:9" x14ac:dyDescent="0.15">
      <c r="A5">
        <v>11.1</v>
      </c>
      <c r="B5">
        <v>8.6</v>
      </c>
      <c r="C5">
        <v>46.4</v>
      </c>
      <c r="D5">
        <v>192.4</v>
      </c>
      <c r="E5">
        <v>367</v>
      </c>
      <c r="F5">
        <v>61.25</v>
      </c>
      <c r="G5">
        <v>142</v>
      </c>
      <c r="H5">
        <v>579</v>
      </c>
      <c r="I5">
        <v>131.83670000000001</v>
      </c>
    </row>
    <row r="6" spans="1:9" x14ac:dyDescent="0.15">
      <c r="A6">
        <v>5.6</v>
      </c>
      <c r="B6">
        <v>4.5</v>
      </c>
      <c r="C6">
        <v>36.200000000000003</v>
      </c>
      <c r="D6">
        <v>-60.4</v>
      </c>
      <c r="E6">
        <v>214</v>
      </c>
      <c r="F6">
        <v>58</v>
      </c>
      <c r="G6">
        <v>53.25</v>
      </c>
      <c r="H6">
        <v>600</v>
      </c>
      <c r="I6">
        <v>-8.1896550000000001</v>
      </c>
    </row>
    <row r="7" spans="1:9" x14ac:dyDescent="0.15">
      <c r="A7">
        <v>3.5</v>
      </c>
      <c r="B7">
        <v>2.9</v>
      </c>
      <c r="C7">
        <v>18.7</v>
      </c>
      <c r="D7">
        <v>-79.8</v>
      </c>
      <c r="E7">
        <v>118</v>
      </c>
      <c r="F7">
        <v>68.25</v>
      </c>
      <c r="G7">
        <v>50.5</v>
      </c>
      <c r="H7">
        <v>735</v>
      </c>
      <c r="I7">
        <v>-26.00733</v>
      </c>
    </row>
    <row r="8" spans="1:9" x14ac:dyDescent="0.15">
      <c r="A8">
        <v>12.3</v>
      </c>
      <c r="B8">
        <v>8.5</v>
      </c>
      <c r="C8">
        <v>34.4</v>
      </c>
      <c r="D8">
        <v>39</v>
      </c>
      <c r="E8">
        <v>175</v>
      </c>
      <c r="F8">
        <v>33</v>
      </c>
      <c r="G8">
        <v>50.25</v>
      </c>
      <c r="H8">
        <v>994</v>
      </c>
      <c r="I8">
        <v>52.272730000000003</v>
      </c>
    </row>
    <row r="9" spans="1:9" x14ac:dyDescent="0.15">
      <c r="A9">
        <v>7.5</v>
      </c>
      <c r="B9">
        <v>6.3</v>
      </c>
      <c r="C9">
        <v>57.8</v>
      </c>
      <c r="D9">
        <v>-62.8</v>
      </c>
      <c r="E9">
        <v>1692</v>
      </c>
      <c r="F9">
        <v>43.625</v>
      </c>
      <c r="G9">
        <v>27.875</v>
      </c>
      <c r="H9">
        <v>1227</v>
      </c>
      <c r="I9">
        <v>-36.103149999999999</v>
      </c>
    </row>
    <row r="10" spans="1:9" x14ac:dyDescent="0.15">
      <c r="A10">
        <v>15.6</v>
      </c>
      <c r="B10">
        <v>10.5</v>
      </c>
      <c r="C10">
        <v>33.4</v>
      </c>
      <c r="D10">
        <v>-16.2</v>
      </c>
      <c r="E10">
        <v>157</v>
      </c>
      <c r="F10">
        <v>42.75</v>
      </c>
      <c r="G10">
        <v>44.25</v>
      </c>
      <c r="H10">
        <v>913</v>
      </c>
      <c r="I10">
        <v>3.508772</v>
      </c>
    </row>
    <row r="11" spans="1:9" x14ac:dyDescent="0.15">
      <c r="A11">
        <v>12.5</v>
      </c>
      <c r="B11">
        <v>9.4</v>
      </c>
      <c r="C11">
        <v>33.4</v>
      </c>
      <c r="D11">
        <v>-19.100000000000001</v>
      </c>
      <c r="E11">
        <v>315</v>
      </c>
      <c r="F11">
        <v>37.125</v>
      </c>
      <c r="G11">
        <v>47.75</v>
      </c>
      <c r="H11">
        <v>733</v>
      </c>
      <c r="I11">
        <v>28.619530000000001</v>
      </c>
    </row>
    <row r="12" spans="1:9" x14ac:dyDescent="0.15">
      <c r="A12">
        <v>17.399999999999999</v>
      </c>
      <c r="B12">
        <v>16.399999999999999</v>
      </c>
      <c r="C12">
        <v>16.7</v>
      </c>
      <c r="D12">
        <v>12.8</v>
      </c>
      <c r="E12">
        <v>407</v>
      </c>
      <c r="F12">
        <v>32.375</v>
      </c>
      <c r="G12">
        <v>25.375</v>
      </c>
      <c r="H12">
        <v>1247</v>
      </c>
      <c r="I12">
        <v>-21.62162</v>
      </c>
    </row>
    <row r="13" spans="1:9" x14ac:dyDescent="0.15">
      <c r="A13">
        <v>9.6999999999999993</v>
      </c>
      <c r="B13">
        <v>8.9</v>
      </c>
      <c r="C13">
        <v>18.3</v>
      </c>
      <c r="D13">
        <v>-34.799999999999997</v>
      </c>
      <c r="E13">
        <v>165</v>
      </c>
      <c r="F13">
        <v>36.125</v>
      </c>
      <c r="G13">
        <v>38.5</v>
      </c>
      <c r="H13">
        <v>925</v>
      </c>
      <c r="I13">
        <v>6.5743939999999998</v>
      </c>
    </row>
    <row r="14" spans="1:9" x14ac:dyDescent="0.15">
      <c r="A14">
        <v>12.7</v>
      </c>
      <c r="B14">
        <v>11.8</v>
      </c>
      <c r="C14">
        <v>27.6</v>
      </c>
      <c r="D14">
        <v>-8.6</v>
      </c>
      <c r="E14">
        <v>288</v>
      </c>
      <c r="F14">
        <v>20.625</v>
      </c>
      <c r="G14">
        <v>41.375</v>
      </c>
      <c r="H14">
        <v>602</v>
      </c>
      <c r="I14">
        <v>100.6061</v>
      </c>
    </row>
    <row r="15" spans="1:9" x14ac:dyDescent="0.15">
      <c r="A15">
        <v>15</v>
      </c>
      <c r="B15">
        <v>12.7</v>
      </c>
      <c r="C15">
        <v>27.3</v>
      </c>
      <c r="D15">
        <v>9.5</v>
      </c>
      <c r="E15">
        <v>147</v>
      </c>
      <c r="F15">
        <v>26.375</v>
      </c>
      <c r="G15">
        <v>25</v>
      </c>
      <c r="H15">
        <v>1006</v>
      </c>
      <c r="I15">
        <v>-5.2132699999999996</v>
      </c>
    </row>
    <row r="16" spans="1:9" x14ac:dyDescent="0.15">
      <c r="A16">
        <v>16.7</v>
      </c>
      <c r="B16">
        <v>12.7</v>
      </c>
      <c r="C16">
        <v>35</v>
      </c>
      <c r="D16">
        <v>19.3</v>
      </c>
      <c r="E16">
        <v>177</v>
      </c>
      <c r="F16">
        <v>31.25</v>
      </c>
      <c r="G16">
        <v>22.625</v>
      </c>
      <c r="H16">
        <v>593</v>
      </c>
      <c r="I16">
        <v>-27.6</v>
      </c>
    </row>
    <row r="17" spans="1:9" x14ac:dyDescent="0.15">
      <c r="A17">
        <v>57</v>
      </c>
      <c r="B17">
        <v>43.3</v>
      </c>
      <c r="C17">
        <v>12.3</v>
      </c>
      <c r="D17">
        <v>59.5</v>
      </c>
      <c r="E17">
        <v>1845</v>
      </c>
      <c r="F17">
        <v>77.25</v>
      </c>
      <c r="G17">
        <v>51.5</v>
      </c>
      <c r="H17">
        <v>3142</v>
      </c>
      <c r="I17">
        <v>-33.333329999999997</v>
      </c>
    </row>
    <row r="18" spans="1:9" x14ac:dyDescent="0.15">
      <c r="A18">
        <v>25.7</v>
      </c>
      <c r="B18">
        <v>11.9</v>
      </c>
      <c r="C18">
        <v>53.9</v>
      </c>
      <c r="D18">
        <v>12.8</v>
      </c>
      <c r="E18">
        <v>1013</v>
      </c>
      <c r="F18">
        <v>64</v>
      </c>
      <c r="G18">
        <v>36.25</v>
      </c>
      <c r="H18">
        <v>1893</v>
      </c>
      <c r="I18">
        <v>-43.359380000000002</v>
      </c>
    </row>
    <row r="19" spans="1:9" x14ac:dyDescent="0.15">
      <c r="A19">
        <v>22.9</v>
      </c>
      <c r="B19">
        <v>12</v>
      </c>
      <c r="C19">
        <v>33.200000000000003</v>
      </c>
      <c r="D19">
        <v>9</v>
      </c>
      <c r="E19">
        <v>829</v>
      </c>
      <c r="F19">
        <v>38.5</v>
      </c>
      <c r="G19">
        <v>50.875</v>
      </c>
      <c r="H19">
        <v>1740</v>
      </c>
      <c r="I19">
        <v>32.142859999999999</v>
      </c>
    </row>
    <row r="20" spans="1:9" x14ac:dyDescent="0.15">
      <c r="A20">
        <v>18.899999999999999</v>
      </c>
      <c r="B20">
        <v>13.5</v>
      </c>
      <c r="C20">
        <v>19.899999999999999</v>
      </c>
      <c r="D20">
        <v>5</v>
      </c>
      <c r="E20">
        <v>475</v>
      </c>
      <c r="F20">
        <v>39.75</v>
      </c>
      <c r="G20">
        <v>37.125</v>
      </c>
      <c r="H20">
        <v>1558</v>
      </c>
      <c r="I20">
        <v>-6.6037739999999996</v>
      </c>
    </row>
    <row r="21" spans="1:9" x14ac:dyDescent="0.15">
      <c r="A21">
        <v>15.8</v>
      </c>
      <c r="B21">
        <v>10</v>
      </c>
      <c r="C21">
        <v>31.4</v>
      </c>
      <c r="D21">
        <v>2.7</v>
      </c>
      <c r="E21">
        <v>230</v>
      </c>
      <c r="F21">
        <v>48</v>
      </c>
      <c r="G21">
        <v>44.625</v>
      </c>
      <c r="H21">
        <v>1095</v>
      </c>
      <c r="I21">
        <v>-7.03125</v>
      </c>
    </row>
    <row r="22" spans="1:9" x14ac:dyDescent="0.15">
      <c r="A22">
        <v>14.4</v>
      </c>
      <c r="B22">
        <v>12.2</v>
      </c>
      <c r="C22">
        <v>14.5</v>
      </c>
      <c r="D22">
        <v>2.6</v>
      </c>
      <c r="E22">
        <v>335</v>
      </c>
      <c r="F22">
        <v>53.625</v>
      </c>
      <c r="G22">
        <v>55</v>
      </c>
      <c r="H22">
        <v>1235</v>
      </c>
      <c r="I22">
        <v>2.5641029999999998</v>
      </c>
    </row>
    <row r="23" spans="1:9" x14ac:dyDescent="0.15">
      <c r="A23">
        <v>22.3</v>
      </c>
      <c r="B23">
        <v>20.3</v>
      </c>
      <c r="C23">
        <v>0</v>
      </c>
      <c r="D23">
        <v>16</v>
      </c>
      <c r="E23">
        <v>63</v>
      </c>
      <c r="F23">
        <v>59.5</v>
      </c>
      <c r="G23">
        <v>61.5</v>
      </c>
      <c r="H23">
        <v>569</v>
      </c>
      <c r="I23">
        <v>3.361345</v>
      </c>
    </row>
    <row r="24" spans="1:9" x14ac:dyDescent="0.15">
      <c r="A24">
        <v>19</v>
      </c>
      <c r="B24">
        <v>14.8</v>
      </c>
      <c r="C24">
        <v>32.9</v>
      </c>
      <c r="D24">
        <v>-42.6</v>
      </c>
      <c r="E24">
        <v>1537</v>
      </c>
      <c r="F24">
        <v>71.375</v>
      </c>
      <c r="G24">
        <v>67.25</v>
      </c>
      <c r="H24">
        <v>930</v>
      </c>
      <c r="I24">
        <v>-5.7793349999999997</v>
      </c>
    </row>
    <row r="25" spans="1:9" x14ac:dyDescent="0.15">
      <c r="A25">
        <v>25.5</v>
      </c>
      <c r="B25">
        <v>15.5</v>
      </c>
      <c r="C25">
        <v>36.1</v>
      </c>
      <c r="D25">
        <v>9.1</v>
      </c>
      <c r="E25">
        <v>228</v>
      </c>
      <c r="F25">
        <v>27.5</v>
      </c>
      <c r="G25">
        <v>9.625</v>
      </c>
      <c r="H25">
        <v>940</v>
      </c>
      <c r="I25">
        <v>-65</v>
      </c>
    </row>
    <row r="26" spans="1:9" x14ac:dyDescent="0.15">
      <c r="A26">
        <v>27.1</v>
      </c>
      <c r="B26">
        <v>23.6</v>
      </c>
      <c r="C26">
        <v>6.6</v>
      </c>
      <c r="D26">
        <v>20.6</v>
      </c>
      <c r="E26">
        <v>174</v>
      </c>
      <c r="F26">
        <v>37.5</v>
      </c>
      <c r="G26">
        <v>33.875</v>
      </c>
      <c r="H26">
        <v>926</v>
      </c>
      <c r="I26">
        <v>-9.6666670000000003</v>
      </c>
    </row>
    <row r="27" spans="1:9" x14ac:dyDescent="0.15">
      <c r="A27">
        <v>14.6</v>
      </c>
      <c r="B27">
        <v>10.7</v>
      </c>
      <c r="C27">
        <v>20.399999999999999</v>
      </c>
      <c r="D27">
        <v>-3.4</v>
      </c>
      <c r="E27">
        <v>191</v>
      </c>
      <c r="F27">
        <v>34.75</v>
      </c>
      <c r="G27">
        <v>57.125</v>
      </c>
      <c r="H27">
        <v>756</v>
      </c>
      <c r="I27">
        <v>64.388490000000004</v>
      </c>
    </row>
    <row r="28" spans="1:9" x14ac:dyDescent="0.15">
      <c r="A28">
        <v>20.5</v>
      </c>
      <c r="B28">
        <v>12.7</v>
      </c>
      <c r="C28">
        <v>41.8</v>
      </c>
      <c r="D28">
        <v>13.4</v>
      </c>
      <c r="E28">
        <v>4237</v>
      </c>
      <c r="F28">
        <v>64.5</v>
      </c>
      <c r="G28">
        <v>51</v>
      </c>
      <c r="H28">
        <v>2969</v>
      </c>
      <c r="I28">
        <v>-20.930230000000002</v>
      </c>
    </row>
    <row r="29" spans="1:9" x14ac:dyDescent="0.15">
      <c r="A29">
        <v>13.7</v>
      </c>
      <c r="B29">
        <v>10.199999999999999</v>
      </c>
      <c r="C29">
        <v>40.200000000000003</v>
      </c>
      <c r="D29">
        <v>43.5</v>
      </c>
      <c r="E29">
        <v>1131</v>
      </c>
      <c r="F29">
        <v>58.875</v>
      </c>
      <c r="G29">
        <v>88.625</v>
      </c>
      <c r="H29">
        <v>3836</v>
      </c>
      <c r="I29">
        <v>50.53078</v>
      </c>
    </row>
    <row r="30" spans="1:9" x14ac:dyDescent="0.15">
      <c r="A30">
        <v>17.8</v>
      </c>
      <c r="B30">
        <v>15.7</v>
      </c>
      <c r="C30">
        <v>10.9</v>
      </c>
      <c r="D30">
        <v>13.9</v>
      </c>
      <c r="E30">
        <v>66</v>
      </c>
      <c r="F30">
        <v>34.25</v>
      </c>
      <c r="G30">
        <v>36</v>
      </c>
      <c r="H30">
        <v>477</v>
      </c>
      <c r="I30">
        <v>5.1094889999999999</v>
      </c>
    </row>
    <row r="31" spans="1:9" x14ac:dyDescent="0.15">
      <c r="A31">
        <v>10.7</v>
      </c>
      <c r="B31">
        <v>7.5</v>
      </c>
      <c r="C31">
        <v>69.900000000000006</v>
      </c>
      <c r="D31">
        <v>4.3</v>
      </c>
      <c r="E31">
        <v>282</v>
      </c>
      <c r="F31">
        <v>24.625</v>
      </c>
      <c r="G31">
        <v>50.375</v>
      </c>
      <c r="H31">
        <v>2600</v>
      </c>
      <c r="I31">
        <v>104.5685</v>
      </c>
    </row>
    <row r="32" spans="1:9" x14ac:dyDescent="0.15">
      <c r="A32">
        <v>11.2</v>
      </c>
      <c r="B32">
        <v>6.7</v>
      </c>
      <c r="C32">
        <v>68.099999999999994</v>
      </c>
      <c r="D32">
        <v>-54.4</v>
      </c>
      <c r="E32">
        <v>151</v>
      </c>
      <c r="F32">
        <v>23.875</v>
      </c>
      <c r="G32">
        <v>17.375</v>
      </c>
      <c r="H32">
        <v>1182</v>
      </c>
      <c r="I32">
        <v>-27.22513</v>
      </c>
    </row>
    <row r="33" spans="1:9" x14ac:dyDescent="0.15">
      <c r="A33">
        <v>18</v>
      </c>
      <c r="B33">
        <v>13</v>
      </c>
      <c r="C33">
        <v>25.7</v>
      </c>
      <c r="D33">
        <v>8.6</v>
      </c>
      <c r="E33">
        <v>229</v>
      </c>
      <c r="F33">
        <v>69.5</v>
      </c>
      <c r="G33">
        <v>45.125</v>
      </c>
      <c r="H33">
        <v>930</v>
      </c>
      <c r="I33">
        <v>-35.071939999999998</v>
      </c>
    </row>
    <row r="34" spans="1:9" x14ac:dyDescent="0.15">
      <c r="A34">
        <v>34.700000000000003</v>
      </c>
      <c r="B34">
        <v>28.7</v>
      </c>
      <c r="C34">
        <v>4.2</v>
      </c>
      <c r="D34">
        <v>15.7</v>
      </c>
      <c r="E34">
        <v>939</v>
      </c>
      <c r="F34">
        <v>68</v>
      </c>
      <c r="G34">
        <v>32.625</v>
      </c>
      <c r="H34">
        <v>1165</v>
      </c>
      <c r="I34">
        <v>-52.022060000000003</v>
      </c>
    </row>
    <row r="35" spans="1:9" x14ac:dyDescent="0.15">
      <c r="A35">
        <v>11.5</v>
      </c>
      <c r="B35">
        <v>9.4</v>
      </c>
      <c r="C35">
        <v>26.7</v>
      </c>
      <c r="D35">
        <v>28.8</v>
      </c>
      <c r="E35">
        <v>24</v>
      </c>
      <c r="F35">
        <v>43.875</v>
      </c>
      <c r="G35">
        <v>18</v>
      </c>
      <c r="H35">
        <v>357</v>
      </c>
      <c r="I35">
        <v>-58.974359999999997</v>
      </c>
    </row>
    <row r="36" spans="1:9" x14ac:dyDescent="0.15">
      <c r="A36">
        <v>61.1</v>
      </c>
      <c r="B36">
        <v>33.5</v>
      </c>
      <c r="C36">
        <v>34.1</v>
      </c>
      <c r="D36">
        <v>13.8</v>
      </c>
      <c r="E36">
        <v>1207</v>
      </c>
      <c r="F36">
        <v>107.5</v>
      </c>
      <c r="G36">
        <v>62.75</v>
      </c>
      <c r="H36">
        <v>1704</v>
      </c>
      <c r="I36">
        <v>-41.62791</v>
      </c>
    </row>
    <row r="37" spans="1:9" x14ac:dyDescent="0.15">
      <c r="A37">
        <v>17.5</v>
      </c>
      <c r="B37">
        <v>14.1</v>
      </c>
      <c r="C37">
        <v>18.2</v>
      </c>
      <c r="D37">
        <v>15.7</v>
      </c>
      <c r="E37">
        <v>127</v>
      </c>
      <c r="F37">
        <v>65</v>
      </c>
      <c r="G37">
        <v>33.875</v>
      </c>
      <c r="H37">
        <v>1336</v>
      </c>
      <c r="I37">
        <v>-47.884619999999998</v>
      </c>
    </row>
    <row r="38" spans="1:9" x14ac:dyDescent="0.15">
      <c r="A38">
        <v>11</v>
      </c>
      <c r="B38">
        <v>9.4</v>
      </c>
      <c r="C38">
        <v>10.7</v>
      </c>
      <c r="D38">
        <v>-42.1</v>
      </c>
      <c r="E38">
        <v>217</v>
      </c>
      <c r="F38">
        <v>38.5</v>
      </c>
      <c r="G38">
        <v>30.75</v>
      </c>
      <c r="H38">
        <v>1345</v>
      </c>
      <c r="I38">
        <v>-20.12987</v>
      </c>
    </row>
    <row r="39" spans="1:9" x14ac:dyDescent="0.15">
      <c r="A39">
        <v>17.8</v>
      </c>
      <c r="B39">
        <v>16.600000000000001</v>
      </c>
      <c r="C39">
        <v>3.8</v>
      </c>
      <c r="D39">
        <v>-1.8</v>
      </c>
      <c r="E39">
        <v>290</v>
      </c>
      <c r="F39">
        <v>44.5</v>
      </c>
      <c r="G39">
        <v>72.75</v>
      </c>
      <c r="H39">
        <v>578</v>
      </c>
      <c r="I39">
        <v>63.483150000000002</v>
      </c>
    </row>
    <row r="40" spans="1:9" x14ac:dyDescent="0.15">
      <c r="A40">
        <v>13.7</v>
      </c>
      <c r="B40">
        <v>11.8</v>
      </c>
      <c r="C40">
        <v>15.2</v>
      </c>
      <c r="D40">
        <v>5.8</v>
      </c>
      <c r="E40">
        <v>522</v>
      </c>
      <c r="F40">
        <v>58.375</v>
      </c>
      <c r="G40">
        <v>58</v>
      </c>
      <c r="H40">
        <v>932</v>
      </c>
      <c r="I40">
        <v>-0.64239829999999998</v>
      </c>
    </row>
    <row r="41" spans="1:9" x14ac:dyDescent="0.15">
      <c r="A41">
        <v>14.2</v>
      </c>
      <c r="B41">
        <v>13.9</v>
      </c>
      <c r="C41">
        <v>1.5</v>
      </c>
      <c r="D41">
        <v>14.2</v>
      </c>
      <c r="E41">
        <v>64</v>
      </c>
      <c r="F41">
        <v>39.25</v>
      </c>
      <c r="G41">
        <v>34.5</v>
      </c>
      <c r="H41">
        <v>518</v>
      </c>
      <c r="I41">
        <v>-12.10191</v>
      </c>
    </row>
    <row r="42" spans="1:9" x14ac:dyDescent="0.15">
      <c r="A42">
        <v>19.899999999999999</v>
      </c>
      <c r="B42">
        <v>18.7</v>
      </c>
      <c r="C42">
        <v>12.7</v>
      </c>
      <c r="D42">
        <v>4.5999999999999996</v>
      </c>
      <c r="E42">
        <v>613</v>
      </c>
      <c r="F42">
        <v>39</v>
      </c>
      <c r="G42">
        <v>62.375</v>
      </c>
      <c r="H42">
        <v>1769</v>
      </c>
      <c r="I42">
        <v>59.935899999999997</v>
      </c>
    </row>
    <row r="43" spans="1:9" x14ac:dyDescent="0.15">
      <c r="A43">
        <v>14.3</v>
      </c>
      <c r="B43">
        <v>11.8</v>
      </c>
      <c r="C43">
        <v>15.5</v>
      </c>
      <c r="D43">
        <v>4.2</v>
      </c>
      <c r="E43">
        <v>474</v>
      </c>
      <c r="F43">
        <v>23.125</v>
      </c>
      <c r="G43">
        <v>20.625</v>
      </c>
      <c r="H43">
        <v>1942</v>
      </c>
      <c r="I43">
        <v>-10.81081</v>
      </c>
    </row>
    <row r="44" spans="1:9" x14ac:dyDescent="0.15">
      <c r="A44">
        <v>1.6</v>
      </c>
      <c r="B44">
        <v>2.9</v>
      </c>
      <c r="C44">
        <v>28.9</v>
      </c>
      <c r="D44">
        <v>5</v>
      </c>
      <c r="E44">
        <v>27</v>
      </c>
      <c r="F44">
        <v>58.625</v>
      </c>
      <c r="G44">
        <v>44</v>
      </c>
      <c r="H44">
        <v>1416</v>
      </c>
      <c r="I44">
        <v>-24.9467</v>
      </c>
    </row>
    <row r="45" spans="1:9" x14ac:dyDescent="0.15">
      <c r="A45">
        <v>32.9</v>
      </c>
      <c r="B45">
        <v>32.1</v>
      </c>
      <c r="C45">
        <v>0</v>
      </c>
      <c r="D45">
        <v>7.9</v>
      </c>
      <c r="E45">
        <v>113</v>
      </c>
      <c r="F45">
        <v>53.625</v>
      </c>
      <c r="G45">
        <v>49.375</v>
      </c>
      <c r="H45">
        <v>729</v>
      </c>
      <c r="I45">
        <v>-7.925408</v>
      </c>
    </row>
    <row r="46" spans="1:9" x14ac:dyDescent="0.15">
      <c r="A46">
        <v>10.9</v>
      </c>
      <c r="B46">
        <v>7.2</v>
      </c>
      <c r="C46">
        <v>22.9</v>
      </c>
      <c r="D46">
        <v>-30.5</v>
      </c>
      <c r="E46">
        <v>147</v>
      </c>
      <c r="F46">
        <v>57.75</v>
      </c>
      <c r="G46">
        <v>30.75</v>
      </c>
      <c r="H46">
        <v>1081</v>
      </c>
      <c r="I46">
        <v>-46.753250000000001</v>
      </c>
    </row>
    <row r="47" spans="1:9" x14ac:dyDescent="0.15">
      <c r="A47">
        <v>19.5</v>
      </c>
      <c r="B47">
        <v>12.5</v>
      </c>
      <c r="C47">
        <v>40.1</v>
      </c>
      <c r="D47">
        <v>20.8</v>
      </c>
      <c r="E47">
        <v>138</v>
      </c>
      <c r="F47">
        <v>31.675000000000001</v>
      </c>
      <c r="G47">
        <v>25.75</v>
      </c>
      <c r="H47">
        <v>1123</v>
      </c>
      <c r="I47">
        <v>-18.7056</v>
      </c>
    </row>
    <row r="48" spans="1:9" x14ac:dyDescent="0.15">
      <c r="A48">
        <v>12.6</v>
      </c>
      <c r="B48">
        <v>8.3000000000000007</v>
      </c>
      <c r="C48">
        <v>33.299999999999997</v>
      </c>
      <c r="D48">
        <v>-5.7</v>
      </c>
      <c r="E48">
        <v>112</v>
      </c>
      <c r="F48">
        <v>82.5</v>
      </c>
      <c r="G48">
        <v>68</v>
      </c>
      <c r="H48">
        <v>1048</v>
      </c>
      <c r="I48">
        <v>-17.575759999999999</v>
      </c>
    </row>
    <row r="49" spans="1:9" x14ac:dyDescent="0.15">
      <c r="A49">
        <v>21.1</v>
      </c>
      <c r="B49">
        <v>19.399999999999999</v>
      </c>
      <c r="C49">
        <v>2.8</v>
      </c>
      <c r="D49">
        <v>11.9</v>
      </c>
      <c r="E49">
        <v>156</v>
      </c>
      <c r="F49">
        <v>36</v>
      </c>
      <c r="G49">
        <v>51.674999999999997</v>
      </c>
      <c r="H49">
        <v>773</v>
      </c>
      <c r="I49">
        <v>43.54166</v>
      </c>
    </row>
    <row r="50" spans="1:9" x14ac:dyDescent="0.15">
      <c r="A50">
        <v>14.7</v>
      </c>
      <c r="B50">
        <v>11.6</v>
      </c>
      <c r="C50">
        <v>26.5</v>
      </c>
      <c r="D50">
        <v>0.8</v>
      </c>
      <c r="E50">
        <v>114</v>
      </c>
      <c r="F50">
        <v>39</v>
      </c>
      <c r="G50">
        <v>35.75</v>
      </c>
      <c r="H50">
        <v>763</v>
      </c>
      <c r="I50">
        <v>-8.3333329999999997</v>
      </c>
    </row>
    <row r="51" spans="1:9" x14ac:dyDescent="0.15">
      <c r="A51">
        <v>14.6</v>
      </c>
      <c r="B51">
        <v>11.8</v>
      </c>
      <c r="C51">
        <v>13.8</v>
      </c>
      <c r="D51">
        <v>6.6</v>
      </c>
      <c r="E51">
        <v>204</v>
      </c>
      <c r="F51">
        <v>50.25</v>
      </c>
      <c r="G51">
        <v>31.5</v>
      </c>
      <c r="H51">
        <v>1191</v>
      </c>
      <c r="I51">
        <v>-37.313429999999997</v>
      </c>
    </row>
    <row r="52" spans="1:9" x14ac:dyDescent="0.15">
      <c r="A52">
        <v>23.4</v>
      </c>
      <c r="B52">
        <v>14.5</v>
      </c>
      <c r="C52">
        <v>51.3</v>
      </c>
      <c r="D52">
        <v>-2.5</v>
      </c>
      <c r="E52">
        <v>208</v>
      </c>
      <c r="F52">
        <v>19.875</v>
      </c>
      <c r="G52">
        <v>21.25</v>
      </c>
      <c r="H52">
        <v>727</v>
      </c>
      <c r="I52">
        <v>6.9182389999999998</v>
      </c>
    </row>
    <row r="53" spans="1:9" x14ac:dyDescent="0.15">
      <c r="A53">
        <v>4.7</v>
      </c>
      <c r="B53">
        <v>4.7</v>
      </c>
      <c r="C53">
        <v>46.6</v>
      </c>
      <c r="D53">
        <v>-65.099999999999994</v>
      </c>
      <c r="E53">
        <v>317</v>
      </c>
      <c r="F53">
        <v>41.125</v>
      </c>
      <c r="G53">
        <v>47.75</v>
      </c>
      <c r="H53">
        <v>947</v>
      </c>
      <c r="I53">
        <v>16.10942</v>
      </c>
    </row>
    <row r="54" spans="1:9" x14ac:dyDescent="0.15">
      <c r="A54">
        <v>37.200000000000003</v>
      </c>
      <c r="B54">
        <v>32.5</v>
      </c>
      <c r="C54">
        <v>17.899999999999999</v>
      </c>
      <c r="D54">
        <v>266.60000000000002</v>
      </c>
      <c r="E54">
        <v>1383</v>
      </c>
      <c r="F54">
        <v>50.5</v>
      </c>
      <c r="G54">
        <v>55.25</v>
      </c>
      <c r="H54">
        <v>3667</v>
      </c>
      <c r="I54">
        <v>9.4059410000000003</v>
      </c>
    </row>
    <row r="55" spans="1:9" x14ac:dyDescent="0.15">
      <c r="A55">
        <v>26.7</v>
      </c>
      <c r="B55">
        <v>20.8</v>
      </c>
      <c r="C55">
        <v>24.5</v>
      </c>
      <c r="D55">
        <v>17.600000000000001</v>
      </c>
      <c r="E55">
        <v>824</v>
      </c>
      <c r="F55">
        <v>112</v>
      </c>
      <c r="G55">
        <v>46</v>
      </c>
      <c r="H55">
        <v>11338</v>
      </c>
      <c r="I55">
        <v>-58.928570000000001</v>
      </c>
    </row>
    <row r="56" spans="1:9" x14ac:dyDescent="0.15">
      <c r="A56">
        <v>15.8</v>
      </c>
      <c r="B56">
        <v>12.8</v>
      </c>
      <c r="C56">
        <v>19</v>
      </c>
      <c r="D56">
        <v>-61.6</v>
      </c>
      <c r="E56">
        <v>211</v>
      </c>
      <c r="F56">
        <v>59.125</v>
      </c>
      <c r="G56">
        <v>61.875</v>
      </c>
      <c r="H56">
        <v>1017</v>
      </c>
      <c r="I56">
        <v>4.6511630000000004</v>
      </c>
    </row>
    <row r="57" spans="1:9" x14ac:dyDescent="0.15">
      <c r="A57">
        <v>15.5</v>
      </c>
      <c r="B57">
        <v>11.4</v>
      </c>
      <c r="C57">
        <v>28.7</v>
      </c>
      <c r="D57">
        <v>-26.3</v>
      </c>
      <c r="E57">
        <v>415</v>
      </c>
      <c r="F57">
        <v>53.674999999999997</v>
      </c>
      <c r="G57">
        <v>49</v>
      </c>
      <c r="H57">
        <v>1434</v>
      </c>
      <c r="I57">
        <v>-8.7098259999999996</v>
      </c>
    </row>
    <row r="58" spans="1:9" x14ac:dyDescent="0.15">
      <c r="A58">
        <v>16.2</v>
      </c>
      <c r="B58">
        <v>13</v>
      </c>
      <c r="C58">
        <v>21.7</v>
      </c>
      <c r="D58">
        <v>17.899999999999999</v>
      </c>
      <c r="E58">
        <v>290</v>
      </c>
      <c r="F58">
        <v>43</v>
      </c>
      <c r="G58">
        <v>29.875</v>
      </c>
      <c r="H58">
        <v>918</v>
      </c>
      <c r="I58">
        <v>-30.523260000000001</v>
      </c>
    </row>
    <row r="59" spans="1:9" x14ac:dyDescent="0.15">
      <c r="A59">
        <v>19</v>
      </c>
      <c r="B59">
        <v>14.5</v>
      </c>
      <c r="C59">
        <v>18</v>
      </c>
      <c r="D59">
        <v>6.7</v>
      </c>
      <c r="E59">
        <v>76</v>
      </c>
      <c r="F59">
        <v>43.75</v>
      </c>
      <c r="G59">
        <v>27.75</v>
      </c>
      <c r="H59">
        <v>780</v>
      </c>
      <c r="I59">
        <v>-36.571429999999999</v>
      </c>
    </row>
    <row r="60" spans="1:9" x14ac:dyDescent="0.15">
      <c r="A60">
        <v>20.3</v>
      </c>
      <c r="B60">
        <v>15.4</v>
      </c>
      <c r="C60">
        <v>29.3</v>
      </c>
      <c r="D60">
        <v>11.9</v>
      </c>
      <c r="E60">
        <v>178</v>
      </c>
      <c r="F60">
        <v>44.875</v>
      </c>
      <c r="G60">
        <v>43.75</v>
      </c>
      <c r="H60">
        <v>842</v>
      </c>
      <c r="I60">
        <v>-2.506964</v>
      </c>
    </row>
    <row r="61" spans="1:9" x14ac:dyDescent="0.15">
      <c r="A61">
        <v>22.1</v>
      </c>
      <c r="B61">
        <v>20.2</v>
      </c>
      <c r="C61">
        <v>3.6</v>
      </c>
      <c r="D61">
        <v>6.9</v>
      </c>
      <c r="E61">
        <v>1305</v>
      </c>
      <c r="F61">
        <v>79.674999999999997</v>
      </c>
      <c r="G61">
        <v>53.375</v>
      </c>
      <c r="H61">
        <v>1275</v>
      </c>
      <c r="I61">
        <v>-33.009099999999997</v>
      </c>
    </row>
    <row r="62" spans="1:9" x14ac:dyDescent="0.15">
      <c r="A62">
        <v>22.6</v>
      </c>
      <c r="B62">
        <v>19.5</v>
      </c>
      <c r="C62">
        <v>15.4</v>
      </c>
      <c r="D62">
        <v>29.8</v>
      </c>
      <c r="E62">
        <v>103</v>
      </c>
      <c r="F62">
        <v>22.125</v>
      </c>
      <c r="G62">
        <v>21</v>
      </c>
      <c r="H62">
        <v>1064</v>
      </c>
      <c r="I62">
        <v>-5.084746</v>
      </c>
    </row>
    <row r="63" spans="1:9" x14ac:dyDescent="0.15">
      <c r="A63">
        <v>21.8</v>
      </c>
      <c r="B63">
        <v>19.399999999999999</v>
      </c>
      <c r="C63">
        <v>5.5</v>
      </c>
      <c r="D63">
        <v>17.2</v>
      </c>
      <c r="E63">
        <v>130</v>
      </c>
      <c r="F63">
        <v>36.75</v>
      </c>
      <c r="G63">
        <v>28.75</v>
      </c>
      <c r="H63">
        <v>725</v>
      </c>
      <c r="I63">
        <v>-21.768709999999999</v>
      </c>
    </row>
    <row r="64" spans="1:9" x14ac:dyDescent="0.15">
      <c r="A64">
        <v>23.4</v>
      </c>
      <c r="B64">
        <v>12.7</v>
      </c>
      <c r="C64">
        <v>35.5</v>
      </c>
      <c r="D64">
        <v>-17.5</v>
      </c>
      <c r="E64">
        <v>1525</v>
      </c>
      <c r="F64">
        <v>111.375</v>
      </c>
      <c r="G64">
        <v>101.75</v>
      </c>
      <c r="H64">
        <v>2262</v>
      </c>
      <c r="I64">
        <v>-8.6419750000000004</v>
      </c>
    </row>
    <row r="65" spans="1:9" x14ac:dyDescent="0.15">
      <c r="A65">
        <v>4.0999999999999996</v>
      </c>
      <c r="B65">
        <v>4.0999999999999996</v>
      </c>
      <c r="C65">
        <v>23.8</v>
      </c>
      <c r="D65">
        <v>-49.9</v>
      </c>
      <c r="E65">
        <v>1349</v>
      </c>
      <c r="F65">
        <v>67.75</v>
      </c>
      <c r="G65">
        <v>44.674999999999997</v>
      </c>
      <c r="H65">
        <v>1359</v>
      </c>
      <c r="I65">
        <v>-34.059040000000003</v>
      </c>
    </row>
    <row r="66" spans="1:9" x14ac:dyDescent="0.15">
      <c r="A66">
        <v>12.6</v>
      </c>
      <c r="B66">
        <v>8.5</v>
      </c>
      <c r="C66">
        <v>13.5</v>
      </c>
      <c r="D66">
        <v>3</v>
      </c>
      <c r="E66">
        <v>3940</v>
      </c>
      <c r="F66">
        <v>50</v>
      </c>
      <c r="G66">
        <v>60.75</v>
      </c>
      <c r="H66">
        <v>1550</v>
      </c>
      <c r="I66">
        <v>21.5</v>
      </c>
    </row>
    <row r="67" spans="1:9" x14ac:dyDescent="0.15">
      <c r="A67">
        <v>10.1</v>
      </c>
      <c r="B67">
        <v>7.9</v>
      </c>
      <c r="C67">
        <v>16.3</v>
      </c>
      <c r="D67">
        <v>-7.7</v>
      </c>
      <c r="E67">
        <v>1724</v>
      </c>
      <c r="F67">
        <v>62.674999999999997</v>
      </c>
      <c r="G67">
        <v>84.25</v>
      </c>
      <c r="H67">
        <v>1872</v>
      </c>
      <c r="I67">
        <v>34.423609999999996</v>
      </c>
    </row>
    <row r="68" spans="1:9" x14ac:dyDescent="0.15">
      <c r="A68">
        <v>1.1000000000000001</v>
      </c>
      <c r="B68">
        <v>1.4</v>
      </c>
      <c r="C68">
        <v>22.3</v>
      </c>
      <c r="D68">
        <v>-89.3</v>
      </c>
      <c r="E68">
        <v>8</v>
      </c>
      <c r="F68">
        <v>40.875</v>
      </c>
      <c r="G68">
        <v>28.75</v>
      </c>
      <c r="H68">
        <v>488</v>
      </c>
      <c r="I68">
        <v>-29.663609999999998</v>
      </c>
    </row>
    <row r="69" spans="1:9" x14ac:dyDescent="0.15">
      <c r="A69">
        <v>14.4</v>
      </c>
      <c r="B69">
        <v>10.8</v>
      </c>
      <c r="C69">
        <v>25.6</v>
      </c>
      <c r="D69">
        <v>-49.9</v>
      </c>
      <c r="E69">
        <v>1349</v>
      </c>
      <c r="F69">
        <v>58.875</v>
      </c>
      <c r="G69">
        <v>59.875</v>
      </c>
      <c r="H69">
        <v>1938</v>
      </c>
      <c r="I69">
        <v>1.6985140000000001</v>
      </c>
    </row>
    <row r="70" spans="1:9" x14ac:dyDescent="0.15">
      <c r="A70">
        <v>14.6</v>
      </c>
      <c r="B70">
        <v>7.9</v>
      </c>
      <c r="C70">
        <v>51.3</v>
      </c>
      <c r="D70">
        <v>-21.1</v>
      </c>
      <c r="E70">
        <v>337</v>
      </c>
      <c r="F70">
        <v>29.75</v>
      </c>
      <c r="G70">
        <v>27.25</v>
      </c>
      <c r="H70">
        <v>1186</v>
      </c>
      <c r="I70">
        <v>-8.4033610000000003</v>
      </c>
    </row>
    <row r="71" spans="1:9" x14ac:dyDescent="0.15">
      <c r="A71">
        <v>12.4</v>
      </c>
      <c r="B71">
        <v>6.9</v>
      </c>
      <c r="C71">
        <v>44.9</v>
      </c>
      <c r="D71">
        <v>27.4</v>
      </c>
      <c r="E71">
        <v>249</v>
      </c>
      <c r="F71">
        <v>19</v>
      </c>
      <c r="G71">
        <v>16.125</v>
      </c>
      <c r="H71">
        <v>1300</v>
      </c>
      <c r="I71">
        <v>-15.13158</v>
      </c>
    </row>
    <row r="72" spans="1:9" x14ac:dyDescent="0.15">
      <c r="A72">
        <v>11.3</v>
      </c>
      <c r="B72">
        <v>8.1999999999999993</v>
      </c>
      <c r="C72">
        <v>44.3</v>
      </c>
      <c r="D72">
        <v>18.100000000000001</v>
      </c>
      <c r="E72">
        <v>540</v>
      </c>
      <c r="F72">
        <v>31.25</v>
      </c>
      <c r="G72">
        <v>28.25</v>
      </c>
      <c r="H72">
        <v>1338</v>
      </c>
      <c r="I72">
        <v>-9.6</v>
      </c>
    </row>
    <row r="73" spans="1:9" x14ac:dyDescent="0.15">
      <c r="A73">
        <v>10.9</v>
      </c>
      <c r="B73">
        <v>9.5</v>
      </c>
      <c r="C73">
        <v>26.3</v>
      </c>
      <c r="D73">
        <v>-31.2</v>
      </c>
      <c r="E73">
        <v>115</v>
      </c>
      <c r="F73">
        <v>13.375</v>
      </c>
      <c r="G73">
        <v>15.375</v>
      </c>
      <c r="H73">
        <v>4206</v>
      </c>
      <c r="I73">
        <v>14.95327</v>
      </c>
    </row>
    <row r="74" spans="1:9" x14ac:dyDescent="0.15">
      <c r="A74">
        <v>25.4</v>
      </c>
      <c r="B74">
        <v>25.1</v>
      </c>
      <c r="C74">
        <v>1</v>
      </c>
      <c r="D74">
        <v>19.899999999999999</v>
      </c>
      <c r="E74">
        <v>122</v>
      </c>
      <c r="F74">
        <v>36</v>
      </c>
      <c r="G74">
        <v>37.125</v>
      </c>
      <c r="H74">
        <v>832</v>
      </c>
      <c r="I74">
        <v>3.125</v>
      </c>
    </row>
    <row r="75" spans="1:9" x14ac:dyDescent="0.15">
      <c r="A75">
        <v>16.8</v>
      </c>
      <c r="B75">
        <v>14.3</v>
      </c>
      <c r="C75">
        <v>17.8</v>
      </c>
      <c r="D75">
        <v>16.7</v>
      </c>
      <c r="E75">
        <v>474</v>
      </c>
      <c r="F75">
        <v>95.25</v>
      </c>
      <c r="G75">
        <v>77.375</v>
      </c>
      <c r="H75">
        <v>1147</v>
      </c>
      <c r="I75">
        <v>-18.76641</v>
      </c>
    </row>
    <row r="76" spans="1:9" x14ac:dyDescent="0.15">
      <c r="A76">
        <v>7.2</v>
      </c>
      <c r="B76">
        <v>7</v>
      </c>
      <c r="C76">
        <v>12</v>
      </c>
      <c r="D76">
        <v>-16.399999999999999</v>
      </c>
      <c r="E76">
        <v>395</v>
      </c>
      <c r="F76">
        <v>59.5</v>
      </c>
      <c r="G76">
        <v>63.625</v>
      </c>
      <c r="H76">
        <v>1278</v>
      </c>
      <c r="I76">
        <v>6.9327730000000001</v>
      </c>
    </row>
    <row r="77" spans="1:9" x14ac:dyDescent="0.15">
      <c r="A77">
        <v>18.5</v>
      </c>
      <c r="B77">
        <v>13.8</v>
      </c>
      <c r="C77">
        <v>23.7</v>
      </c>
      <c r="D77">
        <v>-8.9</v>
      </c>
      <c r="E77">
        <v>879</v>
      </c>
      <c r="F77">
        <v>124.25</v>
      </c>
      <c r="G77">
        <v>86.875</v>
      </c>
      <c r="H77">
        <v>1249</v>
      </c>
      <c r="I77">
        <v>-30.080480000000001</v>
      </c>
    </row>
    <row r="78" spans="1:9" x14ac:dyDescent="0.15">
      <c r="A78">
        <v>19.100000000000001</v>
      </c>
      <c r="B78">
        <v>14.8</v>
      </c>
      <c r="C78">
        <v>35.1</v>
      </c>
      <c r="D78">
        <v>-10.9</v>
      </c>
      <c r="E78">
        <v>361</v>
      </c>
      <c r="F78">
        <v>64.625</v>
      </c>
      <c r="G78">
        <v>59</v>
      </c>
      <c r="H78">
        <v>2146</v>
      </c>
      <c r="I78">
        <v>-8.7040620000000004</v>
      </c>
    </row>
    <row r="79" spans="1:9" x14ac:dyDescent="0.15">
      <c r="A79">
        <v>14.3</v>
      </c>
      <c r="B79">
        <v>11.6</v>
      </c>
      <c r="C79">
        <v>14.6</v>
      </c>
      <c r="D79">
        <v>-11.2</v>
      </c>
      <c r="E79">
        <v>265</v>
      </c>
      <c r="F79">
        <v>38.625</v>
      </c>
      <c r="G79">
        <v>52</v>
      </c>
      <c r="H79">
        <v>574</v>
      </c>
      <c r="I79">
        <v>34.627830000000003</v>
      </c>
    </row>
    <row r="80" spans="1:9" x14ac:dyDescent="0.15">
      <c r="A80">
        <v>28.8</v>
      </c>
      <c r="B80">
        <v>18.399999999999999</v>
      </c>
      <c r="C80">
        <v>33.700000000000003</v>
      </c>
      <c r="D80">
        <v>19.3</v>
      </c>
      <c r="E80">
        <v>233</v>
      </c>
      <c r="F80">
        <v>55.75</v>
      </c>
      <c r="G80">
        <v>34.875</v>
      </c>
      <c r="H80">
        <v>1814</v>
      </c>
      <c r="I80">
        <v>-37.443950000000001</v>
      </c>
    </row>
    <row r="81" spans="1:9" x14ac:dyDescent="0.15">
      <c r="A81">
        <v>32</v>
      </c>
      <c r="B81">
        <v>25.7</v>
      </c>
      <c r="C81">
        <v>0</v>
      </c>
      <c r="D81">
        <v>6.8</v>
      </c>
      <c r="E81">
        <v>475</v>
      </c>
      <c r="F81">
        <v>35.25</v>
      </c>
      <c r="G81">
        <v>39</v>
      </c>
      <c r="H81">
        <v>2193</v>
      </c>
      <c r="I81">
        <v>10.638299999999999</v>
      </c>
    </row>
    <row r="82" spans="1:9" x14ac:dyDescent="0.15">
      <c r="A82">
        <v>20.8</v>
      </c>
      <c r="B82">
        <v>17.899999999999999</v>
      </c>
      <c r="C82">
        <v>6.5</v>
      </c>
      <c r="D82">
        <v>13.9</v>
      </c>
      <c r="E82">
        <v>216</v>
      </c>
      <c r="F82">
        <v>49</v>
      </c>
      <c r="G82">
        <v>58.5</v>
      </c>
      <c r="H82">
        <v>778</v>
      </c>
      <c r="I82">
        <v>19.38775</v>
      </c>
    </row>
    <row r="83" spans="1:9" x14ac:dyDescent="0.15">
      <c r="A83">
        <v>30.5</v>
      </c>
      <c r="B83">
        <v>26.5</v>
      </c>
      <c r="C83">
        <v>4</v>
      </c>
      <c r="D83">
        <v>11.1</v>
      </c>
      <c r="E83">
        <v>399</v>
      </c>
      <c r="F83">
        <v>79.5</v>
      </c>
      <c r="G83">
        <v>39.5</v>
      </c>
      <c r="H83">
        <v>2332</v>
      </c>
      <c r="I83">
        <v>-50.314459999999997</v>
      </c>
    </row>
    <row r="84" spans="1:9" x14ac:dyDescent="0.15">
      <c r="A84">
        <v>13.4</v>
      </c>
      <c r="B84">
        <v>12.3</v>
      </c>
      <c r="C84">
        <v>2.1</v>
      </c>
      <c r="D84">
        <v>-13.1</v>
      </c>
      <c r="E84">
        <v>739</v>
      </c>
      <c r="F84">
        <v>47.25</v>
      </c>
      <c r="G84">
        <v>99.875</v>
      </c>
      <c r="H84">
        <v>1366</v>
      </c>
      <c r="I84">
        <v>111.37569999999999</v>
      </c>
    </row>
    <row r="85" spans="1:9" x14ac:dyDescent="0.15">
      <c r="A85">
        <v>10.8</v>
      </c>
      <c r="B85">
        <v>8.5</v>
      </c>
      <c r="C85">
        <v>20.100000000000001</v>
      </c>
      <c r="D85">
        <v>-22.9</v>
      </c>
      <c r="E85">
        <v>4150</v>
      </c>
      <c r="F85">
        <v>94.125</v>
      </c>
      <c r="G85">
        <v>73.5</v>
      </c>
      <c r="H85">
        <v>2011</v>
      </c>
      <c r="I85">
        <v>-21.91235</v>
      </c>
    </row>
    <row r="86" spans="1:9" x14ac:dyDescent="0.15">
      <c r="A86">
        <v>39.5</v>
      </c>
      <c r="B86">
        <v>42.9</v>
      </c>
      <c r="C86">
        <v>0</v>
      </c>
      <c r="D86">
        <v>60.9</v>
      </c>
      <c r="E86">
        <v>317</v>
      </c>
      <c r="F86">
        <v>87</v>
      </c>
      <c r="G86">
        <v>61.125</v>
      </c>
      <c r="H86">
        <v>1162</v>
      </c>
      <c r="I86">
        <v>-29.741379999999999</v>
      </c>
    </row>
    <row r="87" spans="1:9" x14ac:dyDescent="0.15">
      <c r="A87">
        <v>31.2</v>
      </c>
      <c r="B87">
        <v>27</v>
      </c>
      <c r="C87">
        <v>14.9</v>
      </c>
      <c r="D87">
        <v>81.3</v>
      </c>
      <c r="E87">
        <v>76</v>
      </c>
      <c r="F87">
        <v>31</v>
      </c>
      <c r="G87">
        <v>17.125</v>
      </c>
      <c r="H87">
        <v>267</v>
      </c>
      <c r="I87">
        <v>-44.75806</v>
      </c>
    </row>
    <row r="88" spans="1:9" x14ac:dyDescent="0.15">
      <c r="A88">
        <v>2.2000000000000002</v>
      </c>
      <c r="B88">
        <v>5.3</v>
      </c>
      <c r="C88">
        <v>45.9</v>
      </c>
      <c r="D88">
        <v>-62.4</v>
      </c>
      <c r="E88">
        <v>220</v>
      </c>
      <c r="F88">
        <v>57.25</v>
      </c>
      <c r="G88">
        <v>99</v>
      </c>
      <c r="H88">
        <v>1190</v>
      </c>
      <c r="I88">
        <v>72.92577</v>
      </c>
    </row>
    <row r="89" spans="1:9" x14ac:dyDescent="0.15">
      <c r="A89">
        <v>8.8000000000000007</v>
      </c>
      <c r="B89">
        <v>8.1999999999999993</v>
      </c>
      <c r="C89">
        <v>8.1</v>
      </c>
      <c r="D89">
        <v>90.2</v>
      </c>
      <c r="E89">
        <v>186</v>
      </c>
      <c r="F89">
        <v>42.75</v>
      </c>
      <c r="G89">
        <v>33.125</v>
      </c>
      <c r="H89">
        <v>1101</v>
      </c>
      <c r="I89">
        <v>-22.514620000000001</v>
      </c>
    </row>
    <row r="90" spans="1:9" x14ac:dyDescent="0.15">
      <c r="A90">
        <v>17.899999999999999</v>
      </c>
      <c r="B90">
        <v>17</v>
      </c>
      <c r="C90">
        <v>9.1</v>
      </c>
      <c r="D90">
        <v>23.9</v>
      </c>
      <c r="E90">
        <v>517</v>
      </c>
      <c r="F90">
        <v>49.125</v>
      </c>
      <c r="G90">
        <v>50.375</v>
      </c>
      <c r="H90">
        <v>1494</v>
      </c>
      <c r="I90">
        <v>2.5445289999999998</v>
      </c>
    </row>
    <row r="91" spans="1:9" x14ac:dyDescent="0.15">
      <c r="A91">
        <v>17.2</v>
      </c>
      <c r="B91">
        <v>11.6</v>
      </c>
      <c r="C91">
        <v>61.9</v>
      </c>
      <c r="D91">
        <v>-22.4</v>
      </c>
      <c r="E91">
        <v>460</v>
      </c>
      <c r="F91">
        <v>48.5</v>
      </c>
      <c r="G91">
        <v>71.5</v>
      </c>
      <c r="H91">
        <v>1500</v>
      </c>
      <c r="I91">
        <v>47.42268</v>
      </c>
    </row>
    <row r="92" spans="1:9" x14ac:dyDescent="0.15">
      <c r="A92">
        <v>14.4</v>
      </c>
      <c r="B92">
        <v>9.8000000000000007</v>
      </c>
      <c r="C92">
        <v>27.4</v>
      </c>
      <c r="D92">
        <v>-11.7</v>
      </c>
      <c r="E92">
        <v>743</v>
      </c>
      <c r="F92">
        <v>56.5</v>
      </c>
      <c r="G92">
        <v>75.375</v>
      </c>
      <c r="H92">
        <v>1444</v>
      </c>
      <c r="I92">
        <v>33.407080000000001</v>
      </c>
    </row>
    <row r="93" spans="1:9" x14ac:dyDescent="0.15">
      <c r="A93">
        <v>9.3000000000000007</v>
      </c>
      <c r="B93">
        <v>6.9</v>
      </c>
      <c r="C93">
        <v>36.1</v>
      </c>
      <c r="D93">
        <v>-29.3</v>
      </c>
      <c r="E93">
        <v>157</v>
      </c>
      <c r="F93">
        <v>36.75</v>
      </c>
      <c r="G93">
        <v>48.625</v>
      </c>
      <c r="H93">
        <v>549</v>
      </c>
      <c r="I93">
        <v>32.312919999999998</v>
      </c>
    </row>
    <row r="94" spans="1:9" x14ac:dyDescent="0.15">
      <c r="A94">
        <v>4.8</v>
      </c>
      <c r="B94">
        <v>4.4000000000000004</v>
      </c>
      <c r="C94">
        <v>50.6</v>
      </c>
      <c r="D94">
        <v>-68.7</v>
      </c>
      <c r="E94">
        <v>206</v>
      </c>
      <c r="F94">
        <v>27.625</v>
      </c>
      <c r="G94">
        <v>37.5</v>
      </c>
      <c r="H94">
        <v>647</v>
      </c>
      <c r="I94">
        <v>35.746600000000001</v>
      </c>
    </row>
    <row r="95" spans="1:9" x14ac:dyDescent="0.15">
      <c r="A95">
        <v>18.7</v>
      </c>
      <c r="B95">
        <v>12.9</v>
      </c>
      <c r="C95">
        <v>32.700000000000003</v>
      </c>
      <c r="D95">
        <v>-5.8</v>
      </c>
      <c r="E95">
        <v>169</v>
      </c>
      <c r="F95">
        <v>55</v>
      </c>
      <c r="G95">
        <v>47.5</v>
      </c>
      <c r="H95">
        <v>552</v>
      </c>
      <c r="I95">
        <v>-13.63636</v>
      </c>
    </row>
    <row r="96" spans="1:9" x14ac:dyDescent="0.15">
      <c r="A96">
        <v>18.5</v>
      </c>
      <c r="B96">
        <v>16.7</v>
      </c>
      <c r="C96">
        <v>18.3</v>
      </c>
      <c r="D96">
        <v>17.399999999999999</v>
      </c>
      <c r="E96">
        <v>147</v>
      </c>
      <c r="F96">
        <v>42</v>
      </c>
      <c r="G96">
        <v>58.875</v>
      </c>
      <c r="H96">
        <v>806</v>
      </c>
      <c r="I96">
        <v>40.178570000000001</v>
      </c>
    </row>
    <row r="97" spans="1:9" x14ac:dyDescent="0.15">
      <c r="A97">
        <v>47.6</v>
      </c>
      <c r="B97">
        <v>22.9</v>
      </c>
      <c r="C97">
        <v>50.9</v>
      </c>
      <c r="D97">
        <v>10.6</v>
      </c>
      <c r="E97">
        <v>341</v>
      </c>
      <c r="F97">
        <v>49.125</v>
      </c>
      <c r="G97">
        <v>74.875</v>
      </c>
      <c r="H97">
        <v>783</v>
      </c>
      <c r="I97">
        <v>52.417299999999997</v>
      </c>
    </row>
    <row r="98" spans="1:9" x14ac:dyDescent="0.15">
      <c r="A98">
        <v>20.2</v>
      </c>
      <c r="B98">
        <v>15.1</v>
      </c>
      <c r="C98">
        <v>20.2</v>
      </c>
      <c r="D98">
        <v>12.6</v>
      </c>
      <c r="E98">
        <v>1593</v>
      </c>
      <c r="F98">
        <v>70.25</v>
      </c>
      <c r="G98">
        <v>62</v>
      </c>
      <c r="H98">
        <v>1439</v>
      </c>
      <c r="I98">
        <v>-11.74377</v>
      </c>
    </row>
    <row r="99" spans="1:9" x14ac:dyDescent="0.15">
      <c r="A99">
        <v>8.4</v>
      </c>
      <c r="B99">
        <v>6.9</v>
      </c>
      <c r="C99">
        <v>0</v>
      </c>
      <c r="D99">
        <v>-68</v>
      </c>
      <c r="E99">
        <v>21</v>
      </c>
      <c r="F99">
        <v>70</v>
      </c>
      <c r="G99">
        <v>38.625</v>
      </c>
      <c r="H99">
        <v>740</v>
      </c>
      <c r="I99">
        <v>-44.821429999999999</v>
      </c>
    </row>
    <row r="100" spans="1:9" x14ac:dyDescent="0.15">
      <c r="A100">
        <v>15.3</v>
      </c>
      <c r="B100">
        <v>11.8</v>
      </c>
      <c r="C100">
        <v>30.6</v>
      </c>
      <c r="D100">
        <v>15.6</v>
      </c>
      <c r="E100">
        <v>502</v>
      </c>
      <c r="F100">
        <v>564.125</v>
      </c>
      <c r="G100">
        <v>85.25</v>
      </c>
      <c r="H100">
        <v>1033</v>
      </c>
      <c r="I100">
        <v>-84.888099999999994</v>
      </c>
    </row>
    <row r="101" spans="1:9" x14ac:dyDescent="0.15">
      <c r="A101">
        <v>12</v>
      </c>
      <c r="B101">
        <v>10.3</v>
      </c>
      <c r="C101">
        <v>21.1</v>
      </c>
      <c r="D101">
        <v>16.2</v>
      </c>
      <c r="E101">
        <v>327</v>
      </c>
      <c r="F101">
        <v>186</v>
      </c>
      <c r="G101">
        <v>55.25</v>
      </c>
      <c r="H101">
        <v>1356</v>
      </c>
      <c r="I101">
        <v>-70.295699999999997</v>
      </c>
    </row>
    <row r="102" spans="1:9" x14ac:dyDescent="0.15">
      <c r="A102">
        <v>8.8000000000000007</v>
      </c>
      <c r="B102">
        <v>6</v>
      </c>
      <c r="C102">
        <v>29.8</v>
      </c>
      <c r="D102">
        <v>-61.3</v>
      </c>
      <c r="E102">
        <v>123</v>
      </c>
      <c r="F102">
        <v>33.25</v>
      </c>
      <c r="G102">
        <v>31</v>
      </c>
      <c r="H102">
        <v>537</v>
      </c>
      <c r="I102">
        <v>-6.7669170000000003</v>
      </c>
    </row>
    <row r="103" spans="1:9" x14ac:dyDescent="0.15">
      <c r="A103">
        <v>19.399999999999999</v>
      </c>
      <c r="B103">
        <v>14</v>
      </c>
      <c r="C103">
        <v>27.4</v>
      </c>
      <c r="D103">
        <v>-0.4</v>
      </c>
      <c r="E103">
        <v>387</v>
      </c>
      <c r="F103">
        <v>43.5</v>
      </c>
      <c r="G103">
        <v>53.25</v>
      </c>
      <c r="H103">
        <v>1300</v>
      </c>
      <c r="I103">
        <v>22.413789999999999</v>
      </c>
    </row>
    <row r="104" spans="1:9" x14ac:dyDescent="0.15">
      <c r="A104">
        <v>2.6</v>
      </c>
      <c r="B104">
        <v>3.1</v>
      </c>
      <c r="C104">
        <v>35.4</v>
      </c>
      <c r="D104">
        <v>-88.2</v>
      </c>
      <c r="E104">
        <v>23</v>
      </c>
      <c r="F104">
        <v>56.75</v>
      </c>
      <c r="G104">
        <v>66.875</v>
      </c>
      <c r="H104">
        <v>1030</v>
      </c>
      <c r="I104">
        <v>17.84141</v>
      </c>
    </row>
    <row r="105" spans="1:9" x14ac:dyDescent="0.15">
      <c r="A105">
        <v>35.9</v>
      </c>
      <c r="B105">
        <v>33.5</v>
      </c>
      <c r="C105">
        <v>1.8</v>
      </c>
      <c r="D105">
        <v>20.2</v>
      </c>
      <c r="E105">
        <v>185</v>
      </c>
      <c r="F105">
        <v>40.25</v>
      </c>
      <c r="G105">
        <v>49.125</v>
      </c>
      <c r="H105">
        <v>1188</v>
      </c>
      <c r="I105">
        <v>22.049689999999998</v>
      </c>
    </row>
    <row r="106" spans="1:9" x14ac:dyDescent="0.15">
      <c r="A106">
        <v>19.8</v>
      </c>
      <c r="B106">
        <v>16.7</v>
      </c>
      <c r="C106">
        <v>11.9</v>
      </c>
      <c r="D106">
        <v>4.5</v>
      </c>
      <c r="E106">
        <v>184</v>
      </c>
      <c r="F106">
        <v>227.75</v>
      </c>
      <c r="G106">
        <v>242.5</v>
      </c>
      <c r="H106">
        <v>424</v>
      </c>
      <c r="I106">
        <v>6.4763989999999998</v>
      </c>
    </row>
    <row r="107" spans="1:9" x14ac:dyDescent="0.15">
      <c r="A107">
        <v>24.1</v>
      </c>
      <c r="B107">
        <v>9.1999999999999993</v>
      </c>
      <c r="C107">
        <v>46.3</v>
      </c>
      <c r="D107">
        <v>88.5</v>
      </c>
      <c r="E107">
        <v>265</v>
      </c>
      <c r="F107">
        <v>31.5</v>
      </c>
      <c r="G107">
        <v>48.125</v>
      </c>
      <c r="H107">
        <v>1283</v>
      </c>
      <c r="I107">
        <v>52.77778</v>
      </c>
    </row>
    <row r="108" spans="1:9" x14ac:dyDescent="0.15">
      <c r="A108">
        <v>3.7</v>
      </c>
      <c r="B108">
        <v>3</v>
      </c>
      <c r="C108">
        <v>32.200000000000003</v>
      </c>
      <c r="D108">
        <v>-50.1</v>
      </c>
      <c r="E108">
        <v>90</v>
      </c>
      <c r="F108">
        <v>47.875</v>
      </c>
      <c r="G108">
        <v>50.5</v>
      </c>
      <c r="H108">
        <v>799</v>
      </c>
      <c r="I108">
        <v>5.4830290000000002</v>
      </c>
    </row>
    <row r="109" spans="1:9" x14ac:dyDescent="0.15">
      <c r="A109">
        <v>23.8</v>
      </c>
      <c r="B109">
        <v>19.600000000000001</v>
      </c>
      <c r="C109">
        <v>13.9</v>
      </c>
      <c r="D109">
        <v>17.399999999999999</v>
      </c>
      <c r="E109">
        <v>220</v>
      </c>
      <c r="F109">
        <v>55.5</v>
      </c>
      <c r="G109">
        <v>29</v>
      </c>
      <c r="H109">
        <v>694</v>
      </c>
      <c r="I109">
        <v>-47.747750000000003</v>
      </c>
    </row>
    <row r="110" spans="1:9" x14ac:dyDescent="0.15">
      <c r="A110">
        <v>19.100000000000001</v>
      </c>
      <c r="B110">
        <v>18.100000000000001</v>
      </c>
      <c r="C110">
        <v>8.9</v>
      </c>
      <c r="D110">
        <v>10.3</v>
      </c>
      <c r="E110">
        <v>152</v>
      </c>
      <c r="F110">
        <v>65</v>
      </c>
      <c r="G110">
        <v>51.375</v>
      </c>
      <c r="H110">
        <v>598</v>
      </c>
      <c r="I110">
        <v>-20.961539999999999</v>
      </c>
    </row>
    <row r="111" spans="1:9" x14ac:dyDescent="0.15">
      <c r="A111">
        <v>27.5</v>
      </c>
      <c r="B111">
        <v>20</v>
      </c>
      <c r="C111">
        <v>44.8</v>
      </c>
      <c r="D111">
        <v>45.4</v>
      </c>
      <c r="E111">
        <v>152</v>
      </c>
      <c r="F111">
        <v>36.625</v>
      </c>
      <c r="G111">
        <v>46</v>
      </c>
      <c r="H111">
        <v>1587</v>
      </c>
      <c r="I111">
        <v>25.597270000000002</v>
      </c>
    </row>
    <row r="112" spans="1:9" x14ac:dyDescent="0.15">
      <c r="A112">
        <v>30.3</v>
      </c>
      <c r="B112">
        <v>21.7</v>
      </c>
      <c r="C112">
        <v>32.200000000000003</v>
      </c>
      <c r="D112">
        <v>20.100000000000001</v>
      </c>
      <c r="E112">
        <v>379</v>
      </c>
      <c r="F112">
        <v>34.875</v>
      </c>
      <c r="G112">
        <v>18.125</v>
      </c>
      <c r="H112">
        <v>1836</v>
      </c>
      <c r="I112">
        <v>-48.028680000000001</v>
      </c>
    </row>
    <row r="113" spans="1:9" x14ac:dyDescent="0.15">
      <c r="A113">
        <v>19.5</v>
      </c>
      <c r="B113">
        <v>19.2</v>
      </c>
      <c r="C113">
        <v>2.1</v>
      </c>
      <c r="D113">
        <v>6.7</v>
      </c>
      <c r="E113">
        <v>388</v>
      </c>
      <c r="F113">
        <v>44.625</v>
      </c>
      <c r="G113">
        <v>30.875</v>
      </c>
      <c r="H113">
        <v>1212</v>
      </c>
      <c r="I113">
        <v>-30.81232</v>
      </c>
    </row>
    <row r="114" spans="1:9" x14ac:dyDescent="0.15">
      <c r="A114">
        <v>13.8</v>
      </c>
      <c r="B114">
        <v>10.4</v>
      </c>
      <c r="C114">
        <v>34.9</v>
      </c>
      <c r="D114">
        <v>-22.5</v>
      </c>
      <c r="E114">
        <v>101</v>
      </c>
      <c r="F114">
        <v>37.25</v>
      </c>
      <c r="G114">
        <v>42</v>
      </c>
      <c r="H114">
        <v>300</v>
      </c>
      <c r="I114">
        <v>12.75168</v>
      </c>
    </row>
    <row r="115" spans="1:9" x14ac:dyDescent="0.15">
      <c r="A115">
        <v>15.6</v>
      </c>
      <c r="B115">
        <v>10.4</v>
      </c>
      <c r="C115">
        <v>28.8</v>
      </c>
      <c r="D115">
        <v>-11.7</v>
      </c>
      <c r="E115">
        <v>738</v>
      </c>
      <c r="F115">
        <v>72.75</v>
      </c>
      <c r="G115">
        <v>44.625</v>
      </c>
      <c r="H115">
        <v>997</v>
      </c>
      <c r="I115">
        <v>-38.659790000000001</v>
      </c>
    </row>
    <row r="116" spans="1:9" x14ac:dyDescent="0.15">
      <c r="A116">
        <v>21.2</v>
      </c>
      <c r="B116">
        <v>16.899999999999999</v>
      </c>
      <c r="C116">
        <v>12.2</v>
      </c>
      <c r="D116">
        <v>13.2</v>
      </c>
      <c r="E116">
        <v>175</v>
      </c>
      <c r="F116">
        <v>46.75</v>
      </c>
      <c r="G116">
        <v>43.625</v>
      </c>
      <c r="H116">
        <v>917</v>
      </c>
      <c r="I116">
        <v>-6.6844919999999997</v>
      </c>
    </row>
    <row r="117" spans="1:9" x14ac:dyDescent="0.15">
      <c r="A117">
        <v>15.6</v>
      </c>
      <c r="B117">
        <v>12.1</v>
      </c>
      <c r="C117">
        <v>25</v>
      </c>
      <c r="D117">
        <v>3.2</v>
      </c>
      <c r="E117">
        <v>226</v>
      </c>
      <c r="F117">
        <v>51.25</v>
      </c>
      <c r="G117">
        <v>29.5</v>
      </c>
      <c r="H117">
        <v>767</v>
      </c>
      <c r="I117">
        <v>-42.439030000000002</v>
      </c>
    </row>
    <row r="118" spans="1:9" x14ac:dyDescent="0.15">
      <c r="A118">
        <v>8.1</v>
      </c>
      <c r="B118">
        <v>5.7</v>
      </c>
      <c r="C118">
        <v>46.2</v>
      </c>
      <c r="D118">
        <v>-15.1</v>
      </c>
      <c r="E118">
        <v>128</v>
      </c>
      <c r="F118">
        <v>45.75</v>
      </c>
      <c r="G118">
        <v>60.25</v>
      </c>
      <c r="H118">
        <v>581</v>
      </c>
      <c r="I118">
        <v>31.693989999999999</v>
      </c>
    </row>
    <row r="119" spans="1:9" x14ac:dyDescent="0.15">
      <c r="A119">
        <v>21.1</v>
      </c>
      <c r="B119">
        <v>19.8</v>
      </c>
      <c r="C119">
        <v>4.0999999999999996</v>
      </c>
      <c r="D119">
        <v>5.2</v>
      </c>
      <c r="E119">
        <v>205</v>
      </c>
      <c r="F119">
        <v>42</v>
      </c>
      <c r="G119">
        <v>48</v>
      </c>
      <c r="H119">
        <v>565</v>
      </c>
      <c r="I119">
        <v>14.28571</v>
      </c>
    </row>
    <row r="120" spans="1:9" x14ac:dyDescent="0.15">
      <c r="A120">
        <v>17</v>
      </c>
      <c r="B120">
        <v>15.8</v>
      </c>
      <c r="C120">
        <v>0.2</v>
      </c>
      <c r="D120">
        <v>10.9</v>
      </c>
      <c r="E120">
        <v>125</v>
      </c>
      <c r="F120">
        <v>64.5</v>
      </c>
      <c r="G120">
        <v>57.75</v>
      </c>
      <c r="H120">
        <v>722</v>
      </c>
      <c r="I120">
        <v>-10.465120000000001</v>
      </c>
    </row>
    <row r="121" spans="1:9" x14ac:dyDescent="0.15">
      <c r="A121">
        <v>32.799999999999997</v>
      </c>
      <c r="B121">
        <v>30.2</v>
      </c>
      <c r="C121">
        <v>2.4</v>
      </c>
      <c r="D121">
        <v>10.4</v>
      </c>
      <c r="E121">
        <v>76</v>
      </c>
      <c r="F121">
        <v>37.75</v>
      </c>
      <c r="G121">
        <v>36</v>
      </c>
      <c r="H121">
        <v>439</v>
      </c>
      <c r="I121">
        <v>-4.6357619999999997</v>
      </c>
    </row>
    <row r="122" spans="1:9" x14ac:dyDescent="0.15">
      <c r="A122">
        <v>5.8</v>
      </c>
      <c r="B122">
        <v>8.1</v>
      </c>
      <c r="C122">
        <v>79.5</v>
      </c>
      <c r="D122">
        <v>24.3</v>
      </c>
      <c r="E122">
        <v>130</v>
      </c>
      <c r="F122">
        <v>20.375</v>
      </c>
      <c r="G122">
        <v>22</v>
      </c>
      <c r="H122">
        <v>780</v>
      </c>
      <c r="I122">
        <v>7.97546</v>
      </c>
    </row>
    <row r="123" spans="1:9" x14ac:dyDescent="0.15">
      <c r="A123">
        <v>23.7</v>
      </c>
      <c r="B123">
        <v>15.3</v>
      </c>
      <c r="C123">
        <v>31.8</v>
      </c>
      <c r="D123">
        <v>20.9</v>
      </c>
      <c r="E123">
        <v>667</v>
      </c>
      <c r="F123">
        <v>35</v>
      </c>
      <c r="G123">
        <v>11.375</v>
      </c>
      <c r="H123">
        <v>1571</v>
      </c>
      <c r="I123">
        <v>-67.5</v>
      </c>
    </row>
    <row r="124" spans="1:9" x14ac:dyDescent="0.15">
      <c r="A124">
        <v>11.9</v>
      </c>
      <c r="B124">
        <v>8.9</v>
      </c>
      <c r="C124">
        <v>6</v>
      </c>
      <c r="D124">
        <v>-30.4</v>
      </c>
      <c r="E124">
        <v>70</v>
      </c>
      <c r="F124">
        <v>60.25</v>
      </c>
      <c r="G124">
        <v>55.375</v>
      </c>
      <c r="H124">
        <v>526</v>
      </c>
      <c r="I124">
        <v>-8.0912869999999995</v>
      </c>
    </row>
    <row r="125" spans="1:9" x14ac:dyDescent="0.15">
      <c r="A125">
        <v>16.8</v>
      </c>
      <c r="B125">
        <v>11.2</v>
      </c>
      <c r="C125">
        <v>38.299999999999997</v>
      </c>
      <c r="D125">
        <v>11.6</v>
      </c>
      <c r="E125">
        <v>185</v>
      </c>
      <c r="F125">
        <v>38.875</v>
      </c>
      <c r="G125">
        <v>30.125</v>
      </c>
      <c r="H125">
        <v>752</v>
      </c>
      <c r="I125">
        <v>-22.508040000000001</v>
      </c>
    </row>
    <row r="126" spans="1:9" x14ac:dyDescent="0.15">
      <c r="A126">
        <v>15.7</v>
      </c>
      <c r="B126">
        <v>9.1999999999999993</v>
      </c>
      <c r="C126">
        <v>27.9</v>
      </c>
      <c r="D126">
        <v>7.5</v>
      </c>
      <c r="E126">
        <v>1299</v>
      </c>
      <c r="F126">
        <v>68</v>
      </c>
      <c r="G126">
        <v>40.375</v>
      </c>
      <c r="H126">
        <v>1296</v>
      </c>
      <c r="I126">
        <v>-40.625</v>
      </c>
    </row>
    <row r="127" spans="1:9" x14ac:dyDescent="0.15">
      <c r="A127">
        <v>12.1</v>
      </c>
      <c r="B127">
        <v>7.1</v>
      </c>
      <c r="C127">
        <v>34.1</v>
      </c>
      <c r="D127">
        <v>-13.8</v>
      </c>
      <c r="E127">
        <v>1134</v>
      </c>
      <c r="F127">
        <v>111.25</v>
      </c>
      <c r="G127">
        <v>49.75</v>
      </c>
      <c r="H127">
        <v>1289</v>
      </c>
      <c r="I127">
        <v>-55.280900000000003</v>
      </c>
    </row>
    <row r="128" spans="1:9" x14ac:dyDescent="0.15">
      <c r="A128">
        <v>25.4</v>
      </c>
      <c r="B128">
        <v>12.4</v>
      </c>
      <c r="C128">
        <v>47.7</v>
      </c>
      <c r="D128">
        <v>19.399999999999999</v>
      </c>
      <c r="E128">
        <v>280</v>
      </c>
      <c r="F128">
        <v>64.5</v>
      </c>
      <c r="G128">
        <v>66.125</v>
      </c>
      <c r="H128">
        <v>1264</v>
      </c>
      <c r="I128">
        <v>2.51938</v>
      </c>
    </row>
    <row r="129" spans="1:9" x14ac:dyDescent="0.15">
      <c r="A129">
        <v>14</v>
      </c>
      <c r="B129">
        <v>8.4</v>
      </c>
      <c r="C129">
        <v>30</v>
      </c>
      <c r="D129">
        <v>2.1</v>
      </c>
      <c r="E129">
        <v>1156</v>
      </c>
      <c r="F129">
        <v>50.375</v>
      </c>
      <c r="G129">
        <v>28.5</v>
      </c>
      <c r="H129">
        <v>960</v>
      </c>
      <c r="I129">
        <v>-43.424320000000002</v>
      </c>
    </row>
    <row r="130" spans="1:9" x14ac:dyDescent="0.15">
      <c r="A130">
        <v>12.8</v>
      </c>
      <c r="B130">
        <v>8</v>
      </c>
      <c r="C130">
        <v>27.5</v>
      </c>
      <c r="D130">
        <v>2.5</v>
      </c>
      <c r="E130">
        <v>1131</v>
      </c>
      <c r="F130">
        <v>63.875</v>
      </c>
      <c r="G130">
        <v>40.375</v>
      </c>
      <c r="H130">
        <v>1380</v>
      </c>
      <c r="I130">
        <v>-36.790610000000001</v>
      </c>
    </row>
    <row r="131" spans="1:9" x14ac:dyDescent="0.15">
      <c r="A131">
        <v>31.4</v>
      </c>
      <c r="B131">
        <v>29.9</v>
      </c>
      <c r="C131">
        <v>2.2000000000000002</v>
      </c>
      <c r="D131">
        <v>27.5</v>
      </c>
      <c r="E131">
        <v>191</v>
      </c>
      <c r="F131">
        <v>77.25</v>
      </c>
      <c r="G131">
        <v>37</v>
      </c>
      <c r="H131">
        <v>1222</v>
      </c>
      <c r="I131">
        <v>-52.103560000000002</v>
      </c>
    </row>
    <row r="132" spans="1:9" x14ac:dyDescent="0.15">
      <c r="A132">
        <v>39.1</v>
      </c>
      <c r="B132">
        <v>37.299999999999997</v>
      </c>
      <c r="C132">
        <v>2.8</v>
      </c>
      <c r="D132">
        <v>42.3</v>
      </c>
      <c r="E132">
        <v>267</v>
      </c>
      <c r="F132">
        <v>62.5</v>
      </c>
      <c r="G132">
        <v>74.625</v>
      </c>
      <c r="H132">
        <v>545</v>
      </c>
      <c r="I132">
        <v>19.399999999999999</v>
      </c>
    </row>
    <row r="133" spans="1:9" x14ac:dyDescent="0.15">
      <c r="A133">
        <v>20.2</v>
      </c>
      <c r="B133">
        <v>18.600000000000001</v>
      </c>
      <c r="C133">
        <v>10.5</v>
      </c>
      <c r="D133">
        <v>16.3</v>
      </c>
      <c r="E133">
        <v>172</v>
      </c>
      <c r="F133">
        <v>19</v>
      </c>
      <c r="G133">
        <v>39.5</v>
      </c>
      <c r="H133">
        <v>14336</v>
      </c>
      <c r="I133">
        <v>107.8947</v>
      </c>
    </row>
    <row r="134" spans="1:9" x14ac:dyDescent="0.15">
      <c r="A134">
        <v>2.1</v>
      </c>
      <c r="B134">
        <v>3.6</v>
      </c>
      <c r="C134">
        <v>37.200000000000003</v>
      </c>
      <c r="D134">
        <v>-87</v>
      </c>
      <c r="E134">
        <v>4</v>
      </c>
      <c r="F134">
        <v>31.875</v>
      </c>
      <c r="G134">
        <v>48.625</v>
      </c>
      <c r="H134">
        <v>889</v>
      </c>
      <c r="I134">
        <v>52.549019999999999</v>
      </c>
    </row>
    <row r="135" spans="1:9" x14ac:dyDescent="0.15">
      <c r="A135">
        <v>21</v>
      </c>
      <c r="B135">
        <v>16.7</v>
      </c>
      <c r="C135">
        <v>18.8</v>
      </c>
      <c r="D135">
        <v>19.7</v>
      </c>
      <c r="E135">
        <v>65</v>
      </c>
      <c r="F135">
        <v>32.375</v>
      </c>
      <c r="G135">
        <v>23.625</v>
      </c>
      <c r="H135">
        <v>653</v>
      </c>
      <c r="I135">
        <v>-27.02703</v>
      </c>
    </row>
    <row r="136" spans="1:9" x14ac:dyDescent="0.15">
      <c r="A136">
        <v>25.3</v>
      </c>
      <c r="B136">
        <v>17.399999999999999</v>
      </c>
      <c r="C136">
        <v>32.4</v>
      </c>
      <c r="D136">
        <v>26.1</v>
      </c>
      <c r="E136">
        <v>757</v>
      </c>
      <c r="F136">
        <v>71</v>
      </c>
      <c r="G136">
        <v>37.5</v>
      </c>
      <c r="H136">
        <v>1630</v>
      </c>
      <c r="I136">
        <v>-47.183100000000003</v>
      </c>
    </row>
    <row r="137" spans="1:9" x14ac:dyDescent="0.15">
      <c r="A137">
        <v>14.9</v>
      </c>
      <c r="B137">
        <v>7.6</v>
      </c>
      <c r="C137">
        <v>39.799999999999997</v>
      </c>
      <c r="D137">
        <v>16.600000000000001</v>
      </c>
      <c r="E137">
        <v>365</v>
      </c>
      <c r="F137">
        <v>42.875</v>
      </c>
      <c r="G137">
        <v>19</v>
      </c>
      <c r="H137">
        <v>334</v>
      </c>
      <c r="I137">
        <v>-55.685130000000001</v>
      </c>
    </row>
    <row r="138" spans="1:9" x14ac:dyDescent="0.15">
      <c r="A138">
        <v>12.6</v>
      </c>
      <c r="B138">
        <v>6.7</v>
      </c>
      <c r="C138">
        <v>47.3</v>
      </c>
      <c r="D138">
        <v>-15.9</v>
      </c>
      <c r="E138">
        <v>187</v>
      </c>
      <c r="F138">
        <v>23.875</v>
      </c>
      <c r="G138">
        <v>18.375</v>
      </c>
      <c r="H138">
        <v>447</v>
      </c>
      <c r="I138">
        <v>-23.036650000000002</v>
      </c>
    </row>
    <row r="139" spans="1:9" x14ac:dyDescent="0.15">
      <c r="A139">
        <v>12.5</v>
      </c>
      <c r="B139">
        <v>7.3</v>
      </c>
      <c r="C139">
        <v>40.4</v>
      </c>
      <c r="D139">
        <v>-3.5</v>
      </c>
      <c r="E139">
        <v>524</v>
      </c>
      <c r="F139">
        <v>29.25</v>
      </c>
      <c r="G139">
        <v>26.5</v>
      </c>
      <c r="H139">
        <v>732</v>
      </c>
      <c r="I139">
        <v>-9.4017099999999996</v>
      </c>
    </row>
    <row r="140" spans="1:9" x14ac:dyDescent="0.15">
      <c r="A140">
        <v>13.7</v>
      </c>
      <c r="B140">
        <v>8.6999999999999993</v>
      </c>
      <c r="C140">
        <v>42.5</v>
      </c>
      <c r="D140">
        <v>-5.7</v>
      </c>
      <c r="E140">
        <v>214</v>
      </c>
      <c r="F140">
        <v>39.375</v>
      </c>
      <c r="G140">
        <v>14.625</v>
      </c>
      <c r="H140">
        <v>506</v>
      </c>
      <c r="I140">
        <v>-62.857140000000001</v>
      </c>
    </row>
    <row r="141" spans="1:9" x14ac:dyDescent="0.15">
      <c r="A141">
        <v>9.1</v>
      </c>
      <c r="B141">
        <v>6.9</v>
      </c>
      <c r="C141">
        <v>47.4</v>
      </c>
      <c r="D141">
        <v>-30.1</v>
      </c>
      <c r="E141">
        <v>621</v>
      </c>
      <c r="F141">
        <v>29.125</v>
      </c>
      <c r="G141">
        <v>20</v>
      </c>
      <c r="H141">
        <v>884</v>
      </c>
      <c r="I141">
        <v>-31.330469999999998</v>
      </c>
    </row>
    <row r="142" spans="1:9" x14ac:dyDescent="0.15">
      <c r="A142">
        <v>13.7</v>
      </c>
      <c r="B142">
        <v>9.5</v>
      </c>
      <c r="C142">
        <v>37.9</v>
      </c>
      <c r="D142">
        <v>12.6</v>
      </c>
      <c r="E142">
        <v>187</v>
      </c>
      <c r="F142">
        <v>32</v>
      </c>
      <c r="G142">
        <v>25.875</v>
      </c>
      <c r="H142">
        <v>334</v>
      </c>
      <c r="I142">
        <v>-19.140630000000002</v>
      </c>
    </row>
    <row r="143" spans="1:9" x14ac:dyDescent="0.15">
      <c r="A143">
        <v>37</v>
      </c>
      <c r="B143">
        <v>15.7</v>
      </c>
      <c r="C143">
        <v>53.9</v>
      </c>
      <c r="D143">
        <v>45.1</v>
      </c>
      <c r="E143">
        <v>3523</v>
      </c>
      <c r="F143">
        <v>41.625</v>
      </c>
      <c r="G143">
        <v>57.5</v>
      </c>
      <c r="H143">
        <v>1316</v>
      </c>
      <c r="I143">
        <v>38.13814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0BEB5-97F7-BB4E-81B2-27CDC1F200C5}">
  <dimension ref="A1:I154"/>
  <sheetViews>
    <sheetView topLeftCell="A5" zoomScale="75" workbookViewId="0">
      <selection activeCell="R17" sqref="R17"/>
    </sheetView>
  </sheetViews>
  <sheetFormatPr baseColWidth="10" defaultRowHeight="13" x14ac:dyDescent="0.15"/>
  <cols>
    <col min="5" max="5" width="13.6640625" bestFit="1" customWidth="1"/>
  </cols>
  <sheetData>
    <row r="1" spans="1:9" x14ac:dyDescent="0.1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8</v>
      </c>
      <c r="G1" s="1" t="s">
        <v>33</v>
      </c>
      <c r="H1" s="1" t="s">
        <v>34</v>
      </c>
      <c r="I1" s="1" t="s">
        <v>6</v>
      </c>
    </row>
    <row r="2" spans="1:9" x14ac:dyDescent="0.15">
      <c r="A2">
        <v>18.7</v>
      </c>
      <c r="B2">
        <v>17.399999999999999</v>
      </c>
      <c r="C2">
        <v>4</v>
      </c>
      <c r="D2">
        <v>48.1</v>
      </c>
      <c r="E2">
        <v>1144</v>
      </c>
      <c r="F2">
        <v>1090</v>
      </c>
      <c r="G2" s="9">
        <f>LN(E2)</f>
        <v>7.0422861719397432</v>
      </c>
      <c r="H2" s="9">
        <f>LN(F2)</f>
        <v>6.9939329752231894</v>
      </c>
      <c r="I2">
        <v>-20.842110000000002</v>
      </c>
    </row>
    <row r="3" spans="1:9" x14ac:dyDescent="0.15">
      <c r="A3">
        <v>1.6</v>
      </c>
      <c r="B3">
        <v>2.4</v>
      </c>
      <c r="C3">
        <v>27.3</v>
      </c>
      <c r="D3">
        <v>-85.3</v>
      </c>
      <c r="E3">
        <v>35</v>
      </c>
      <c r="F3">
        <v>1923</v>
      </c>
      <c r="G3" s="9">
        <f t="shared" ref="G3:G66" si="0">LN(E3)</f>
        <v>3.5553480614894135</v>
      </c>
      <c r="H3" s="9">
        <f t="shared" ref="H3:H66" si="1">LN(F3)</f>
        <v>7.5616417455887799</v>
      </c>
      <c r="I3">
        <v>-9.1383810000000008</v>
      </c>
    </row>
    <row r="4" spans="1:9" x14ac:dyDescent="0.15">
      <c r="A4">
        <v>4.9000000000000004</v>
      </c>
      <c r="B4">
        <v>4.5999999999999996</v>
      </c>
      <c r="C4">
        <v>36.799999999999997</v>
      </c>
      <c r="D4">
        <v>-44.1</v>
      </c>
      <c r="E4">
        <v>127</v>
      </c>
      <c r="F4">
        <v>1012</v>
      </c>
      <c r="G4" s="9">
        <f t="shared" si="0"/>
        <v>4.8441870864585912</v>
      </c>
      <c r="H4" s="9">
        <f t="shared" si="1"/>
        <v>6.9196838498474111</v>
      </c>
      <c r="I4">
        <v>86.217950000000002</v>
      </c>
    </row>
    <row r="5" spans="1:9" x14ac:dyDescent="0.15">
      <c r="A5">
        <v>11.1</v>
      </c>
      <c r="B5">
        <v>8.6</v>
      </c>
      <c r="C5">
        <v>46.4</v>
      </c>
      <c r="D5">
        <v>192.4</v>
      </c>
      <c r="E5">
        <v>367</v>
      </c>
      <c r="F5">
        <v>579</v>
      </c>
      <c r="G5" s="9">
        <f t="shared" si="0"/>
        <v>5.9053618480545707</v>
      </c>
      <c r="H5" s="9">
        <f t="shared" si="1"/>
        <v>6.3613024775729956</v>
      </c>
      <c r="I5">
        <v>131.83670000000001</v>
      </c>
    </row>
    <row r="6" spans="1:9" x14ac:dyDescent="0.15">
      <c r="A6">
        <v>5.6</v>
      </c>
      <c r="B6">
        <v>4.5</v>
      </c>
      <c r="C6">
        <v>36.200000000000003</v>
      </c>
      <c r="D6">
        <v>-60.4</v>
      </c>
      <c r="E6">
        <v>214</v>
      </c>
      <c r="F6">
        <v>600</v>
      </c>
      <c r="G6" s="9">
        <f t="shared" si="0"/>
        <v>5.3659760150218512</v>
      </c>
      <c r="H6" s="9">
        <f t="shared" si="1"/>
        <v>6.3969296552161463</v>
      </c>
      <c r="I6">
        <v>-8.1896550000000001</v>
      </c>
    </row>
    <row r="7" spans="1:9" x14ac:dyDescent="0.15">
      <c r="A7">
        <v>3.5</v>
      </c>
      <c r="B7">
        <v>2.9</v>
      </c>
      <c r="C7">
        <v>18.7</v>
      </c>
      <c r="D7">
        <v>-79.8</v>
      </c>
      <c r="E7">
        <v>118</v>
      </c>
      <c r="F7">
        <v>735</v>
      </c>
      <c r="G7" s="9">
        <f t="shared" si="0"/>
        <v>4.7706846244656651</v>
      </c>
      <c r="H7" s="9">
        <f t="shared" si="1"/>
        <v>6.5998704992128365</v>
      </c>
      <c r="I7">
        <v>-26.00733</v>
      </c>
    </row>
    <row r="8" spans="1:9" x14ac:dyDescent="0.15">
      <c r="A8">
        <v>12.3</v>
      </c>
      <c r="B8">
        <v>8.5</v>
      </c>
      <c r="C8">
        <v>34.4</v>
      </c>
      <c r="D8">
        <v>39</v>
      </c>
      <c r="E8">
        <v>175</v>
      </c>
      <c r="F8">
        <v>994</v>
      </c>
      <c r="G8" s="9">
        <f t="shared" si="0"/>
        <v>5.1647859739235145</v>
      </c>
      <c r="H8" s="9">
        <f t="shared" si="1"/>
        <v>6.9017372066565743</v>
      </c>
      <c r="I8">
        <v>52.272730000000003</v>
      </c>
    </row>
    <row r="9" spans="1:9" x14ac:dyDescent="0.15">
      <c r="A9">
        <v>7.5</v>
      </c>
      <c r="B9">
        <v>6.3</v>
      </c>
      <c r="C9">
        <v>57.8</v>
      </c>
      <c r="D9">
        <v>-62.8</v>
      </c>
      <c r="E9">
        <v>1692</v>
      </c>
      <c r="F9">
        <v>1227</v>
      </c>
      <c r="G9" s="9">
        <f t="shared" si="0"/>
        <v>7.4336665401661683</v>
      </c>
      <c r="H9" s="9">
        <f t="shared" si="1"/>
        <v>7.1123274447109113</v>
      </c>
      <c r="I9">
        <v>-36.103149999999999</v>
      </c>
    </row>
    <row r="10" spans="1:9" x14ac:dyDescent="0.15">
      <c r="A10">
        <v>15.6</v>
      </c>
      <c r="B10">
        <v>10.5</v>
      </c>
      <c r="C10">
        <v>33.4</v>
      </c>
      <c r="D10">
        <v>-16.2</v>
      </c>
      <c r="E10">
        <v>157</v>
      </c>
      <c r="F10">
        <v>913</v>
      </c>
      <c r="G10" s="9">
        <f t="shared" si="0"/>
        <v>5.0562458053483077</v>
      </c>
      <c r="H10" s="9">
        <f t="shared" si="1"/>
        <v>6.816735880594968</v>
      </c>
      <c r="I10">
        <v>3.508772</v>
      </c>
    </row>
    <row r="11" spans="1:9" x14ac:dyDescent="0.15">
      <c r="A11">
        <v>12.5</v>
      </c>
      <c r="B11">
        <v>9.4</v>
      </c>
      <c r="C11">
        <v>33.4</v>
      </c>
      <c r="D11">
        <v>-19.100000000000001</v>
      </c>
      <c r="E11">
        <v>315</v>
      </c>
      <c r="F11">
        <v>733</v>
      </c>
      <c r="G11" s="9">
        <f t="shared" si="0"/>
        <v>5.7525726388256331</v>
      </c>
      <c r="H11" s="9">
        <f t="shared" si="1"/>
        <v>6.5971457018866513</v>
      </c>
      <c r="I11">
        <v>28.619530000000001</v>
      </c>
    </row>
    <row r="12" spans="1:9" x14ac:dyDescent="0.15">
      <c r="A12">
        <v>17.399999999999999</v>
      </c>
      <c r="B12">
        <v>16.399999999999999</v>
      </c>
      <c r="C12">
        <v>16.7</v>
      </c>
      <c r="D12">
        <v>12.8</v>
      </c>
      <c r="E12">
        <v>407</v>
      </c>
      <c r="F12">
        <v>1247</v>
      </c>
      <c r="G12" s="9">
        <f t="shared" si="0"/>
        <v>6.0088131854425946</v>
      </c>
      <c r="H12" s="9">
        <f t="shared" si="1"/>
        <v>7.1284959456800365</v>
      </c>
      <c r="I12">
        <v>-21.62162</v>
      </c>
    </row>
    <row r="13" spans="1:9" x14ac:dyDescent="0.15">
      <c r="A13">
        <v>9.6999999999999993</v>
      </c>
      <c r="B13">
        <v>8.9</v>
      </c>
      <c r="C13">
        <v>18.3</v>
      </c>
      <c r="D13">
        <v>-34.799999999999997</v>
      </c>
      <c r="E13">
        <v>165</v>
      </c>
      <c r="F13">
        <v>925</v>
      </c>
      <c r="G13" s="9">
        <f t="shared" si="0"/>
        <v>5.1059454739005803</v>
      </c>
      <c r="H13" s="9">
        <f t="shared" si="1"/>
        <v>6.8297937375124249</v>
      </c>
      <c r="I13">
        <v>6.5743939999999998</v>
      </c>
    </row>
    <row r="14" spans="1:9" x14ac:dyDescent="0.15">
      <c r="A14">
        <v>12.7</v>
      </c>
      <c r="B14">
        <v>11.8</v>
      </c>
      <c r="C14">
        <v>27.6</v>
      </c>
      <c r="D14">
        <v>-8.6</v>
      </c>
      <c r="E14">
        <v>288</v>
      </c>
      <c r="F14">
        <v>602</v>
      </c>
      <c r="G14" s="9">
        <f t="shared" si="0"/>
        <v>5.6629604801359461</v>
      </c>
      <c r="H14" s="9">
        <f t="shared" si="1"/>
        <v>6.4002574453088208</v>
      </c>
      <c r="I14">
        <v>100.6061</v>
      </c>
    </row>
    <row r="15" spans="1:9" x14ac:dyDescent="0.15">
      <c r="A15">
        <v>15</v>
      </c>
      <c r="B15">
        <v>12.7</v>
      </c>
      <c r="C15">
        <v>27.3</v>
      </c>
      <c r="D15">
        <v>9.5</v>
      </c>
      <c r="E15">
        <v>147</v>
      </c>
      <c r="F15">
        <v>1006</v>
      </c>
      <c r="G15" s="9">
        <f t="shared" si="0"/>
        <v>4.990432586778736</v>
      </c>
      <c r="H15" s="9">
        <f t="shared" si="1"/>
        <v>6.9137373506596846</v>
      </c>
      <c r="I15">
        <v>-5.2132699999999996</v>
      </c>
    </row>
    <row r="16" spans="1:9" x14ac:dyDescent="0.15">
      <c r="A16">
        <v>16.7</v>
      </c>
      <c r="B16">
        <v>12.7</v>
      </c>
      <c r="C16">
        <v>35</v>
      </c>
      <c r="D16">
        <v>19.3</v>
      </c>
      <c r="E16">
        <v>177</v>
      </c>
      <c r="F16">
        <v>593</v>
      </c>
      <c r="G16" s="9">
        <f t="shared" si="0"/>
        <v>5.1761497325738288</v>
      </c>
      <c r="H16" s="9">
        <f t="shared" si="1"/>
        <v>6.3851943989977258</v>
      </c>
      <c r="I16">
        <v>-27.6</v>
      </c>
    </row>
    <row r="17" spans="1:9" x14ac:dyDescent="0.15">
      <c r="A17">
        <v>57</v>
      </c>
      <c r="B17">
        <v>43.3</v>
      </c>
      <c r="C17">
        <v>12.3</v>
      </c>
      <c r="D17">
        <v>59.5</v>
      </c>
      <c r="E17">
        <v>1845</v>
      </c>
      <c r="F17">
        <v>3142</v>
      </c>
      <c r="G17" s="9">
        <f t="shared" si="0"/>
        <v>7.5202345564746276</v>
      </c>
      <c r="H17" s="9">
        <f t="shared" si="1"/>
        <v>8.0526148188155666</v>
      </c>
      <c r="I17">
        <v>-33.333329999999997</v>
      </c>
    </row>
    <row r="18" spans="1:9" x14ac:dyDescent="0.15">
      <c r="A18">
        <v>25.7</v>
      </c>
      <c r="B18">
        <v>11.9</v>
      </c>
      <c r="C18">
        <v>53.9</v>
      </c>
      <c r="D18">
        <v>12.8</v>
      </c>
      <c r="E18">
        <v>1013</v>
      </c>
      <c r="F18">
        <v>1893</v>
      </c>
      <c r="G18" s="9">
        <f t="shared" si="0"/>
        <v>6.9206715042486833</v>
      </c>
      <c r="H18" s="9">
        <f t="shared" si="1"/>
        <v>7.5459181512093227</v>
      </c>
      <c r="I18">
        <v>-43.359380000000002</v>
      </c>
    </row>
    <row r="19" spans="1:9" x14ac:dyDescent="0.15">
      <c r="A19">
        <v>22.9</v>
      </c>
      <c r="B19">
        <v>12</v>
      </c>
      <c r="C19">
        <v>33.200000000000003</v>
      </c>
      <c r="D19">
        <v>9</v>
      </c>
      <c r="E19">
        <v>829</v>
      </c>
      <c r="F19">
        <v>1740</v>
      </c>
      <c r="G19" s="9">
        <f t="shared" si="0"/>
        <v>6.7202201551352951</v>
      </c>
      <c r="H19" s="9">
        <f t="shared" si="1"/>
        <v>7.461640392208575</v>
      </c>
      <c r="I19">
        <v>32.142859999999999</v>
      </c>
    </row>
    <row r="20" spans="1:9" x14ac:dyDescent="0.15">
      <c r="A20">
        <v>18.899999999999999</v>
      </c>
      <c r="B20">
        <v>13.5</v>
      </c>
      <c r="C20">
        <v>19.899999999999999</v>
      </c>
      <c r="D20">
        <v>5</v>
      </c>
      <c r="E20">
        <v>475</v>
      </c>
      <c r="F20">
        <v>1558</v>
      </c>
      <c r="G20" s="9">
        <f t="shared" si="0"/>
        <v>6.1633148040346413</v>
      </c>
      <c r="H20" s="9">
        <f t="shared" si="1"/>
        <v>7.3511582264306936</v>
      </c>
      <c r="I20">
        <v>-6.6037739999999996</v>
      </c>
    </row>
    <row r="21" spans="1:9" x14ac:dyDescent="0.15">
      <c r="A21">
        <v>15.8</v>
      </c>
      <c r="B21">
        <v>10</v>
      </c>
      <c r="C21">
        <v>31.4</v>
      </c>
      <c r="D21">
        <v>2.7</v>
      </c>
      <c r="E21">
        <v>230</v>
      </c>
      <c r="F21">
        <v>1095</v>
      </c>
      <c r="G21" s="9">
        <f t="shared" si="0"/>
        <v>5.4380793089231956</v>
      </c>
      <c r="H21" s="9">
        <f t="shared" si="1"/>
        <v>6.9985096422506015</v>
      </c>
      <c r="I21">
        <v>-7.03125</v>
      </c>
    </row>
    <row r="22" spans="1:9" x14ac:dyDescent="0.15">
      <c r="A22">
        <v>14.4</v>
      </c>
      <c r="B22">
        <v>12.2</v>
      </c>
      <c r="C22">
        <v>14.5</v>
      </c>
      <c r="D22">
        <v>2.6</v>
      </c>
      <c r="E22">
        <v>335</v>
      </c>
      <c r="F22">
        <v>1235</v>
      </c>
      <c r="G22" s="9">
        <f t="shared" si="0"/>
        <v>5.8141305318250662</v>
      </c>
      <c r="H22" s="9">
        <f t="shared" si="1"/>
        <v>7.1188262490620779</v>
      </c>
      <c r="I22">
        <v>2.5641029999999998</v>
      </c>
    </row>
    <row r="23" spans="1:9" x14ac:dyDescent="0.15">
      <c r="A23">
        <v>22.3</v>
      </c>
      <c r="B23">
        <v>20.3</v>
      </c>
      <c r="C23">
        <v>0</v>
      </c>
      <c r="D23">
        <v>16</v>
      </c>
      <c r="E23">
        <v>63</v>
      </c>
      <c r="F23">
        <v>569</v>
      </c>
      <c r="G23" s="9">
        <f t="shared" si="0"/>
        <v>4.1431347263915326</v>
      </c>
      <c r="H23" s="9">
        <f t="shared" si="1"/>
        <v>6.3438804341263308</v>
      </c>
      <c r="I23">
        <v>3.361345</v>
      </c>
    </row>
    <row r="24" spans="1:9" x14ac:dyDescent="0.15">
      <c r="A24">
        <v>19</v>
      </c>
      <c r="B24">
        <v>14.8</v>
      </c>
      <c r="C24">
        <v>32.9</v>
      </c>
      <c r="D24">
        <v>-42.6</v>
      </c>
      <c r="E24">
        <v>1537</v>
      </c>
      <c r="F24">
        <v>930</v>
      </c>
      <c r="G24" s="9">
        <f t="shared" si="0"/>
        <v>7.3375877435385961</v>
      </c>
      <c r="H24" s="9">
        <f t="shared" si="1"/>
        <v>6.8351845861473013</v>
      </c>
      <c r="I24">
        <v>-5.7793349999999997</v>
      </c>
    </row>
    <row r="25" spans="1:9" x14ac:dyDescent="0.15">
      <c r="A25">
        <v>25.5</v>
      </c>
      <c r="B25">
        <v>15.5</v>
      </c>
      <c r="C25">
        <v>36.1</v>
      </c>
      <c r="D25">
        <v>9.1</v>
      </c>
      <c r="E25">
        <v>228</v>
      </c>
      <c r="F25">
        <v>940</v>
      </c>
      <c r="G25" s="9">
        <f t="shared" si="0"/>
        <v>5.4293456289544411</v>
      </c>
      <c r="H25" s="9">
        <f t="shared" si="1"/>
        <v>6.8458798752640497</v>
      </c>
      <c r="I25">
        <v>-65</v>
      </c>
    </row>
    <row r="26" spans="1:9" x14ac:dyDescent="0.15">
      <c r="A26">
        <v>27.1</v>
      </c>
      <c r="B26">
        <v>23.6</v>
      </c>
      <c r="C26">
        <v>6.6</v>
      </c>
      <c r="D26">
        <v>20.6</v>
      </c>
      <c r="E26">
        <v>174</v>
      </c>
      <c r="F26">
        <v>926</v>
      </c>
      <c r="G26" s="9">
        <f t="shared" si="0"/>
        <v>5.1590552992145291</v>
      </c>
      <c r="H26" s="9">
        <f t="shared" si="1"/>
        <v>6.8308742346461795</v>
      </c>
      <c r="I26">
        <v>-9.6666670000000003</v>
      </c>
    </row>
    <row r="27" spans="1:9" x14ac:dyDescent="0.15">
      <c r="A27">
        <v>14.6</v>
      </c>
      <c r="B27">
        <v>10.7</v>
      </c>
      <c r="C27">
        <v>20.399999999999999</v>
      </c>
      <c r="D27">
        <v>-3.4</v>
      </c>
      <c r="E27">
        <v>191</v>
      </c>
      <c r="F27">
        <v>756</v>
      </c>
      <c r="G27" s="9">
        <f t="shared" si="0"/>
        <v>5.2522734280466299</v>
      </c>
      <c r="H27" s="9">
        <f t="shared" si="1"/>
        <v>6.6280413761795334</v>
      </c>
      <c r="I27">
        <v>64.388490000000004</v>
      </c>
    </row>
    <row r="28" spans="1:9" x14ac:dyDescent="0.15">
      <c r="A28">
        <v>20.5</v>
      </c>
      <c r="B28">
        <v>12.7</v>
      </c>
      <c r="C28">
        <v>41.8</v>
      </c>
      <c r="D28">
        <v>13.4</v>
      </c>
      <c r="E28">
        <v>4237</v>
      </c>
      <c r="F28">
        <v>2969</v>
      </c>
      <c r="G28" s="9">
        <f t="shared" si="0"/>
        <v>8.3516107506265591</v>
      </c>
      <c r="H28" s="9">
        <f t="shared" si="1"/>
        <v>7.9959804747637602</v>
      </c>
      <c r="I28">
        <v>-20.930230000000002</v>
      </c>
    </row>
    <row r="29" spans="1:9" x14ac:dyDescent="0.15">
      <c r="A29">
        <v>13.7</v>
      </c>
      <c r="B29">
        <v>10.199999999999999</v>
      </c>
      <c r="C29">
        <v>40.200000000000003</v>
      </c>
      <c r="D29">
        <v>43.5</v>
      </c>
      <c r="E29">
        <v>1131</v>
      </c>
      <c r="F29">
        <v>3836</v>
      </c>
      <c r="G29" s="9">
        <f t="shared" si="0"/>
        <v>7.0308574761161209</v>
      </c>
      <c r="H29" s="9">
        <f t="shared" si="1"/>
        <v>8.2521854360033284</v>
      </c>
      <c r="I29">
        <v>50.53078</v>
      </c>
    </row>
    <row r="30" spans="1:9" x14ac:dyDescent="0.15">
      <c r="A30">
        <v>17.8</v>
      </c>
      <c r="B30">
        <v>15.7</v>
      </c>
      <c r="C30">
        <v>10.9</v>
      </c>
      <c r="D30">
        <v>13.9</v>
      </c>
      <c r="E30">
        <v>66</v>
      </c>
      <c r="F30">
        <v>477</v>
      </c>
      <c r="G30" s="9">
        <f t="shared" si="0"/>
        <v>4.1896547420264252</v>
      </c>
      <c r="H30" s="9">
        <f t="shared" si="1"/>
        <v>6.1675164908883415</v>
      </c>
      <c r="I30">
        <v>5.1094889999999999</v>
      </c>
    </row>
    <row r="31" spans="1:9" x14ac:dyDescent="0.15">
      <c r="A31">
        <v>10.7</v>
      </c>
      <c r="B31">
        <v>7.5</v>
      </c>
      <c r="C31">
        <v>69.900000000000006</v>
      </c>
      <c r="D31">
        <v>4.3</v>
      </c>
      <c r="E31">
        <v>282</v>
      </c>
      <c r="F31">
        <v>2600</v>
      </c>
      <c r="G31" s="9">
        <f t="shared" si="0"/>
        <v>5.6419070709381138</v>
      </c>
      <c r="H31" s="9">
        <f t="shared" si="1"/>
        <v>7.8632667240095735</v>
      </c>
      <c r="I31">
        <v>104.5685</v>
      </c>
    </row>
    <row r="32" spans="1:9" x14ac:dyDescent="0.15">
      <c r="A32">
        <v>11.2</v>
      </c>
      <c r="B32">
        <v>6.7</v>
      </c>
      <c r="C32">
        <v>68.099999999999994</v>
      </c>
      <c r="D32">
        <v>-54.4</v>
      </c>
      <c r="E32">
        <v>151</v>
      </c>
      <c r="F32">
        <v>1182</v>
      </c>
      <c r="G32" s="9">
        <f t="shared" si="0"/>
        <v>5.0172798368149243</v>
      </c>
      <c r="H32" s="9">
        <f t="shared" si="1"/>
        <v>7.0749631979660439</v>
      </c>
      <c r="I32">
        <v>-27.22513</v>
      </c>
    </row>
    <row r="33" spans="1:9" x14ac:dyDescent="0.15">
      <c r="A33">
        <v>18</v>
      </c>
      <c r="B33">
        <v>13</v>
      </c>
      <c r="C33">
        <v>25.7</v>
      </c>
      <c r="D33">
        <v>8.6</v>
      </c>
      <c r="E33">
        <v>229</v>
      </c>
      <c r="F33">
        <v>930</v>
      </c>
      <c r="G33" s="9">
        <f t="shared" si="0"/>
        <v>5.43372200355424</v>
      </c>
      <c r="H33" s="9">
        <f t="shared" si="1"/>
        <v>6.8351845861473013</v>
      </c>
      <c r="I33">
        <v>-35.071939999999998</v>
      </c>
    </row>
    <row r="34" spans="1:9" x14ac:dyDescent="0.15">
      <c r="A34">
        <v>34.700000000000003</v>
      </c>
      <c r="B34">
        <v>28.7</v>
      </c>
      <c r="C34">
        <v>4.2</v>
      </c>
      <c r="D34">
        <v>15.7</v>
      </c>
      <c r="E34">
        <v>939</v>
      </c>
      <c r="F34">
        <v>1165</v>
      </c>
      <c r="G34" s="9">
        <f t="shared" si="0"/>
        <v>6.8448154792082629</v>
      </c>
      <c r="H34" s="9">
        <f t="shared" si="1"/>
        <v>7.0604763659998007</v>
      </c>
      <c r="I34">
        <v>-52.022060000000003</v>
      </c>
    </row>
    <row r="35" spans="1:9" x14ac:dyDescent="0.15">
      <c r="A35">
        <v>11.5</v>
      </c>
      <c r="B35">
        <v>9.4</v>
      </c>
      <c r="C35">
        <v>26.7</v>
      </c>
      <c r="D35">
        <v>28.8</v>
      </c>
      <c r="E35">
        <v>24</v>
      </c>
      <c r="F35">
        <v>357</v>
      </c>
      <c r="G35" s="9">
        <f t="shared" si="0"/>
        <v>3.1780538303479458</v>
      </c>
      <c r="H35" s="9">
        <f t="shared" si="1"/>
        <v>5.8777357817796387</v>
      </c>
      <c r="I35">
        <v>-58.974359999999997</v>
      </c>
    </row>
    <row r="36" spans="1:9" x14ac:dyDescent="0.15">
      <c r="A36">
        <v>61.1</v>
      </c>
      <c r="B36">
        <v>33.5</v>
      </c>
      <c r="C36">
        <v>34.1</v>
      </c>
      <c r="D36">
        <v>13.8</v>
      </c>
      <c r="E36">
        <v>1207</v>
      </c>
      <c r="F36">
        <v>1704</v>
      </c>
      <c r="G36" s="9">
        <f t="shared" si="0"/>
        <v>7.0958932210975316</v>
      </c>
      <c r="H36" s="9">
        <f t="shared" si="1"/>
        <v>7.4407337073892608</v>
      </c>
      <c r="I36">
        <v>-41.62791</v>
      </c>
    </row>
    <row r="37" spans="1:9" x14ac:dyDescent="0.15">
      <c r="A37">
        <v>17.5</v>
      </c>
      <c r="B37">
        <v>14.1</v>
      </c>
      <c r="C37">
        <v>18.2</v>
      </c>
      <c r="D37">
        <v>15.7</v>
      </c>
      <c r="E37">
        <v>127</v>
      </c>
      <c r="F37">
        <v>1336</v>
      </c>
      <c r="G37" s="9">
        <f t="shared" si="0"/>
        <v>4.8441870864585912</v>
      </c>
      <c r="H37" s="9">
        <f t="shared" si="1"/>
        <v>7.1974353540965907</v>
      </c>
      <c r="I37">
        <v>-47.884619999999998</v>
      </c>
    </row>
    <row r="38" spans="1:9" x14ac:dyDescent="0.15">
      <c r="A38">
        <v>11</v>
      </c>
      <c r="B38">
        <v>9.4</v>
      </c>
      <c r="C38">
        <v>10.7</v>
      </c>
      <c r="D38">
        <v>-42.1</v>
      </c>
      <c r="E38">
        <v>217</v>
      </c>
      <c r="F38">
        <v>1345</v>
      </c>
      <c r="G38" s="9">
        <f t="shared" si="0"/>
        <v>5.3798973535404597</v>
      </c>
      <c r="H38" s="9">
        <f t="shared" si="1"/>
        <v>7.2041492920359396</v>
      </c>
      <c r="I38">
        <v>-20.12987</v>
      </c>
    </row>
    <row r="39" spans="1:9" x14ac:dyDescent="0.15">
      <c r="A39">
        <v>17.8</v>
      </c>
      <c r="B39">
        <v>16.600000000000001</v>
      </c>
      <c r="C39">
        <v>3.8</v>
      </c>
      <c r="D39">
        <v>-1.8</v>
      </c>
      <c r="E39">
        <v>290</v>
      </c>
      <c r="F39">
        <v>578</v>
      </c>
      <c r="G39" s="9">
        <f t="shared" si="0"/>
        <v>5.6698809229805196</v>
      </c>
      <c r="H39" s="9">
        <f t="shared" si="1"/>
        <v>6.3595738686723777</v>
      </c>
      <c r="I39">
        <v>63.483150000000002</v>
      </c>
    </row>
    <row r="40" spans="1:9" x14ac:dyDescent="0.15">
      <c r="A40">
        <v>13.7</v>
      </c>
      <c r="B40">
        <v>11.8</v>
      </c>
      <c r="C40">
        <v>15.2</v>
      </c>
      <c r="D40">
        <v>5.8</v>
      </c>
      <c r="E40">
        <v>522</v>
      </c>
      <c r="F40">
        <v>932</v>
      </c>
      <c r="G40" s="9">
        <f t="shared" si="0"/>
        <v>6.2576675878826391</v>
      </c>
      <c r="H40" s="9">
        <f t="shared" si="1"/>
        <v>6.837332814685591</v>
      </c>
      <c r="I40">
        <v>-0.64239829999999998</v>
      </c>
    </row>
    <row r="41" spans="1:9" x14ac:dyDescent="0.15">
      <c r="A41">
        <v>14.2</v>
      </c>
      <c r="B41">
        <v>13.9</v>
      </c>
      <c r="C41">
        <v>1.5</v>
      </c>
      <c r="D41">
        <v>14.2</v>
      </c>
      <c r="E41">
        <v>64</v>
      </c>
      <c r="F41">
        <v>518</v>
      </c>
      <c r="G41" s="9">
        <f t="shared" si="0"/>
        <v>4.1588830833596715</v>
      </c>
      <c r="H41" s="9">
        <f t="shared" si="1"/>
        <v>6.2499752422594828</v>
      </c>
      <c r="I41">
        <v>-12.10191</v>
      </c>
    </row>
    <row r="42" spans="1:9" x14ac:dyDescent="0.15">
      <c r="A42">
        <v>19.899999999999999</v>
      </c>
      <c r="B42">
        <v>18.7</v>
      </c>
      <c r="C42">
        <v>12.7</v>
      </c>
      <c r="D42">
        <v>4.5999999999999996</v>
      </c>
      <c r="E42">
        <v>613</v>
      </c>
      <c r="F42">
        <v>1769</v>
      </c>
      <c r="G42" s="9">
        <f t="shared" si="0"/>
        <v>6.4183649359362116</v>
      </c>
      <c r="H42" s="9">
        <f t="shared" si="1"/>
        <v>7.4781696941597851</v>
      </c>
      <c r="I42">
        <v>59.935899999999997</v>
      </c>
    </row>
    <row r="43" spans="1:9" x14ac:dyDescent="0.15">
      <c r="A43">
        <v>14.3</v>
      </c>
      <c r="B43">
        <v>11.8</v>
      </c>
      <c r="C43">
        <v>15.5</v>
      </c>
      <c r="D43">
        <v>4.2</v>
      </c>
      <c r="E43">
        <v>474</v>
      </c>
      <c r="F43">
        <v>1942</v>
      </c>
      <c r="G43" s="9">
        <f t="shared" si="0"/>
        <v>6.1612073216950769</v>
      </c>
      <c r="H43" s="9">
        <f t="shared" si="1"/>
        <v>7.5714736488512706</v>
      </c>
      <c r="I43">
        <v>-10.81081</v>
      </c>
    </row>
    <row r="44" spans="1:9" x14ac:dyDescent="0.15">
      <c r="A44">
        <v>1.6</v>
      </c>
      <c r="B44">
        <v>2.9</v>
      </c>
      <c r="C44">
        <v>28.9</v>
      </c>
      <c r="D44">
        <v>5</v>
      </c>
      <c r="E44">
        <v>27</v>
      </c>
      <c r="F44">
        <v>1416</v>
      </c>
      <c r="G44" s="9">
        <f t="shared" si="0"/>
        <v>3.2958368660043291</v>
      </c>
      <c r="H44" s="9">
        <f t="shared" si="1"/>
        <v>7.255591274253665</v>
      </c>
      <c r="I44">
        <v>-24.9467</v>
      </c>
    </row>
    <row r="45" spans="1:9" x14ac:dyDescent="0.15">
      <c r="A45">
        <v>32.9</v>
      </c>
      <c r="B45">
        <v>32.1</v>
      </c>
      <c r="C45">
        <v>0</v>
      </c>
      <c r="D45">
        <v>7.9</v>
      </c>
      <c r="E45">
        <v>113</v>
      </c>
      <c r="F45">
        <v>729</v>
      </c>
      <c r="G45" s="9">
        <f t="shared" si="0"/>
        <v>4.7273878187123408</v>
      </c>
      <c r="H45" s="9">
        <f t="shared" si="1"/>
        <v>6.5916737320086582</v>
      </c>
      <c r="I45">
        <v>-7.925408</v>
      </c>
    </row>
    <row r="46" spans="1:9" x14ac:dyDescent="0.15">
      <c r="A46">
        <v>10.9</v>
      </c>
      <c r="B46">
        <v>7.2</v>
      </c>
      <c r="C46">
        <v>22.9</v>
      </c>
      <c r="D46">
        <v>-30.5</v>
      </c>
      <c r="E46">
        <v>147</v>
      </c>
      <c r="F46">
        <v>1081</v>
      </c>
      <c r="G46" s="9">
        <f t="shared" si="0"/>
        <v>4.990432586778736</v>
      </c>
      <c r="H46" s="9">
        <f t="shared" si="1"/>
        <v>6.9856418176392081</v>
      </c>
      <c r="I46">
        <v>-46.753250000000001</v>
      </c>
    </row>
    <row r="47" spans="1:9" x14ac:dyDescent="0.15">
      <c r="A47">
        <v>19.5</v>
      </c>
      <c r="B47">
        <v>12.5</v>
      </c>
      <c r="C47">
        <v>40.1</v>
      </c>
      <c r="D47">
        <v>20.8</v>
      </c>
      <c r="E47">
        <v>138</v>
      </c>
      <c r="F47">
        <v>1123</v>
      </c>
      <c r="G47" s="9">
        <f t="shared" si="0"/>
        <v>4.9272536851572051</v>
      </c>
      <c r="H47" s="9">
        <f t="shared" si="1"/>
        <v>7.0237589547384429</v>
      </c>
      <c r="I47">
        <v>-18.7056</v>
      </c>
    </row>
    <row r="48" spans="1:9" x14ac:dyDescent="0.15">
      <c r="A48">
        <v>12.6</v>
      </c>
      <c r="B48">
        <v>8.3000000000000007</v>
      </c>
      <c r="C48">
        <v>33.299999999999997</v>
      </c>
      <c r="D48">
        <v>-5.7</v>
      </c>
      <c r="E48">
        <v>112</v>
      </c>
      <c r="F48">
        <v>1048</v>
      </c>
      <c r="G48" s="9">
        <f t="shared" si="0"/>
        <v>4.7184988712950942</v>
      </c>
      <c r="H48" s="9">
        <f t="shared" si="1"/>
        <v>6.9546388648809874</v>
      </c>
      <c r="I48">
        <v>-17.575759999999999</v>
      </c>
    </row>
    <row r="49" spans="1:9" x14ac:dyDescent="0.15">
      <c r="A49">
        <v>21.1</v>
      </c>
      <c r="B49">
        <v>19.399999999999999</v>
      </c>
      <c r="C49">
        <v>2.8</v>
      </c>
      <c r="D49">
        <v>11.9</v>
      </c>
      <c r="E49">
        <v>156</v>
      </c>
      <c r="F49">
        <v>773</v>
      </c>
      <c r="G49" s="9">
        <f t="shared" si="0"/>
        <v>5.0498560072495371</v>
      </c>
      <c r="H49" s="9">
        <f t="shared" si="1"/>
        <v>6.6502790485874224</v>
      </c>
      <c r="I49">
        <v>43.54166</v>
      </c>
    </row>
    <row r="50" spans="1:9" x14ac:dyDescent="0.15">
      <c r="A50">
        <v>14.7</v>
      </c>
      <c r="B50">
        <v>11.6</v>
      </c>
      <c r="C50">
        <v>26.5</v>
      </c>
      <c r="D50">
        <v>0.8</v>
      </c>
      <c r="E50">
        <v>114</v>
      </c>
      <c r="F50">
        <v>763</v>
      </c>
      <c r="G50" s="9">
        <f t="shared" si="0"/>
        <v>4.7361984483944957</v>
      </c>
      <c r="H50" s="9">
        <f t="shared" si="1"/>
        <v>6.6372580312844569</v>
      </c>
      <c r="I50">
        <v>-8.3333329999999997</v>
      </c>
    </row>
    <row r="51" spans="1:9" x14ac:dyDescent="0.15">
      <c r="A51">
        <v>14.6</v>
      </c>
      <c r="B51">
        <v>11.8</v>
      </c>
      <c r="C51">
        <v>13.8</v>
      </c>
      <c r="D51">
        <v>6.6</v>
      </c>
      <c r="E51">
        <v>204</v>
      </c>
      <c r="F51">
        <v>1191</v>
      </c>
      <c r="G51" s="9">
        <f t="shared" si="0"/>
        <v>5.3181199938442161</v>
      </c>
      <c r="H51" s="9">
        <f t="shared" si="1"/>
        <v>7.0825485693552999</v>
      </c>
      <c r="I51">
        <v>-37.313429999999997</v>
      </c>
    </row>
    <row r="52" spans="1:9" x14ac:dyDescent="0.15">
      <c r="A52">
        <v>23.4</v>
      </c>
      <c r="B52">
        <v>14.5</v>
      </c>
      <c r="C52">
        <v>51.3</v>
      </c>
      <c r="D52">
        <v>-2.5</v>
      </c>
      <c r="E52">
        <v>208</v>
      </c>
      <c r="F52">
        <v>727</v>
      </c>
      <c r="G52" s="9">
        <f t="shared" si="0"/>
        <v>5.3375380797013179</v>
      </c>
      <c r="H52" s="9">
        <f t="shared" si="1"/>
        <v>6.5889264775335192</v>
      </c>
      <c r="I52">
        <v>6.9182389999999998</v>
      </c>
    </row>
    <row r="53" spans="1:9" x14ac:dyDescent="0.15">
      <c r="A53">
        <v>4.7</v>
      </c>
      <c r="B53">
        <v>4.7</v>
      </c>
      <c r="C53">
        <v>46.6</v>
      </c>
      <c r="D53">
        <v>-65.099999999999994</v>
      </c>
      <c r="E53">
        <v>317</v>
      </c>
      <c r="F53">
        <v>947</v>
      </c>
      <c r="G53" s="9">
        <f t="shared" si="0"/>
        <v>5.7589017738772803</v>
      </c>
      <c r="H53" s="9">
        <f t="shared" si="1"/>
        <v>6.8532990931860782</v>
      </c>
      <c r="I53">
        <v>16.10942</v>
      </c>
    </row>
    <row r="54" spans="1:9" x14ac:dyDescent="0.15">
      <c r="A54">
        <v>37.200000000000003</v>
      </c>
      <c r="B54">
        <v>32.5</v>
      </c>
      <c r="C54">
        <v>17.899999999999999</v>
      </c>
      <c r="D54">
        <v>266.60000000000002</v>
      </c>
      <c r="E54">
        <v>1383</v>
      </c>
      <c r="F54">
        <v>3667</v>
      </c>
      <c r="G54" s="9">
        <f t="shared" si="0"/>
        <v>7.2320103316647586</v>
      </c>
      <c r="H54" s="9">
        <f t="shared" si="1"/>
        <v>8.2071291680713259</v>
      </c>
      <c r="I54">
        <v>9.4059410000000003</v>
      </c>
    </row>
    <row r="55" spans="1:9" x14ac:dyDescent="0.15">
      <c r="A55">
        <v>26.7</v>
      </c>
      <c r="B55">
        <v>20.8</v>
      </c>
      <c r="C55">
        <v>24.5</v>
      </c>
      <c r="D55">
        <v>17.600000000000001</v>
      </c>
      <c r="E55">
        <v>824</v>
      </c>
      <c r="F55">
        <v>11338</v>
      </c>
      <c r="G55" s="9">
        <f t="shared" si="0"/>
        <v>6.7141705299094721</v>
      </c>
      <c r="H55" s="9">
        <f t="shared" si="1"/>
        <v>9.3359151948842491</v>
      </c>
      <c r="I55">
        <v>-58.928570000000001</v>
      </c>
    </row>
    <row r="56" spans="1:9" x14ac:dyDescent="0.15">
      <c r="A56">
        <v>15.8</v>
      </c>
      <c r="B56">
        <v>12.8</v>
      </c>
      <c r="C56">
        <v>19</v>
      </c>
      <c r="D56">
        <v>-61.6</v>
      </c>
      <c r="E56">
        <v>211</v>
      </c>
      <c r="F56">
        <v>1017</v>
      </c>
      <c r="G56" s="9">
        <f t="shared" si="0"/>
        <v>5.3518581334760666</v>
      </c>
      <c r="H56" s="9">
        <f t="shared" si="1"/>
        <v>6.9246123960485599</v>
      </c>
      <c r="I56">
        <v>4.6511630000000004</v>
      </c>
    </row>
    <row r="57" spans="1:9" x14ac:dyDescent="0.15">
      <c r="A57">
        <v>15.5</v>
      </c>
      <c r="B57">
        <v>11.4</v>
      </c>
      <c r="C57">
        <v>28.7</v>
      </c>
      <c r="D57">
        <v>-26.3</v>
      </c>
      <c r="E57">
        <v>415</v>
      </c>
      <c r="F57">
        <v>1434</v>
      </c>
      <c r="G57" s="9">
        <f t="shared" si="0"/>
        <v>6.0282785202306979</v>
      </c>
      <c r="H57" s="9">
        <f t="shared" si="1"/>
        <v>7.2682230211595655</v>
      </c>
      <c r="I57">
        <v>-8.7098259999999996</v>
      </c>
    </row>
    <row r="58" spans="1:9" x14ac:dyDescent="0.15">
      <c r="A58">
        <v>16.2</v>
      </c>
      <c r="B58">
        <v>13</v>
      </c>
      <c r="C58">
        <v>21.7</v>
      </c>
      <c r="D58">
        <v>17.899999999999999</v>
      </c>
      <c r="E58">
        <v>290</v>
      </c>
      <c r="F58">
        <v>918</v>
      </c>
      <c r="G58" s="9">
        <f t="shared" si="0"/>
        <v>5.6698809229805196</v>
      </c>
      <c r="H58" s="9">
        <f t="shared" si="1"/>
        <v>6.8221973906204907</v>
      </c>
      <c r="I58">
        <v>-30.523260000000001</v>
      </c>
    </row>
    <row r="59" spans="1:9" x14ac:dyDescent="0.15">
      <c r="A59">
        <v>19</v>
      </c>
      <c r="B59">
        <v>14.5</v>
      </c>
      <c r="C59">
        <v>18</v>
      </c>
      <c r="D59">
        <v>6.7</v>
      </c>
      <c r="E59">
        <v>76</v>
      </c>
      <c r="F59">
        <v>780</v>
      </c>
      <c r="G59" s="9">
        <f t="shared" si="0"/>
        <v>4.3307333402863311</v>
      </c>
      <c r="H59" s="9">
        <f t="shared" si="1"/>
        <v>6.6592939196836376</v>
      </c>
      <c r="I59">
        <v>-36.571429999999999</v>
      </c>
    </row>
    <row r="60" spans="1:9" x14ac:dyDescent="0.15">
      <c r="A60">
        <v>20.3</v>
      </c>
      <c r="B60">
        <v>15.4</v>
      </c>
      <c r="C60">
        <v>29.3</v>
      </c>
      <c r="D60">
        <v>11.9</v>
      </c>
      <c r="E60">
        <v>178</v>
      </c>
      <c r="F60">
        <v>842</v>
      </c>
      <c r="G60" s="9">
        <f t="shared" si="0"/>
        <v>5.181783550292085</v>
      </c>
      <c r="H60" s="9">
        <f t="shared" si="1"/>
        <v>6.7357800142423265</v>
      </c>
      <c r="I60">
        <v>-2.506964</v>
      </c>
    </row>
    <row r="61" spans="1:9" x14ac:dyDescent="0.15">
      <c r="A61">
        <v>22.1</v>
      </c>
      <c r="B61">
        <v>20.2</v>
      </c>
      <c r="C61">
        <v>3.6</v>
      </c>
      <c r="D61">
        <v>6.9</v>
      </c>
      <c r="E61">
        <v>1305</v>
      </c>
      <c r="F61">
        <v>1275</v>
      </c>
      <c r="G61" s="9">
        <f t="shared" si="0"/>
        <v>7.1739583197567942</v>
      </c>
      <c r="H61" s="9">
        <f t="shared" si="1"/>
        <v>7.1507014575925263</v>
      </c>
      <c r="I61">
        <v>-33.009099999999997</v>
      </c>
    </row>
    <row r="62" spans="1:9" x14ac:dyDescent="0.15">
      <c r="A62">
        <v>22.6</v>
      </c>
      <c r="B62">
        <v>19.5</v>
      </c>
      <c r="C62">
        <v>15.4</v>
      </c>
      <c r="D62">
        <v>29.8</v>
      </c>
      <c r="E62">
        <v>103</v>
      </c>
      <c r="F62">
        <v>1064</v>
      </c>
      <c r="G62" s="9">
        <f t="shared" si="0"/>
        <v>4.6347289882296359</v>
      </c>
      <c r="H62" s="9">
        <f t="shared" si="1"/>
        <v>6.9697906699015899</v>
      </c>
      <c r="I62">
        <v>-5.084746</v>
      </c>
    </row>
    <row r="63" spans="1:9" x14ac:dyDescent="0.15">
      <c r="A63">
        <v>21.8</v>
      </c>
      <c r="B63">
        <v>19.399999999999999</v>
      </c>
      <c r="C63">
        <v>5.5</v>
      </c>
      <c r="D63">
        <v>17.2</v>
      </c>
      <c r="E63">
        <v>130</v>
      </c>
      <c r="F63">
        <v>725</v>
      </c>
      <c r="G63" s="9">
        <f t="shared" si="0"/>
        <v>4.8675344504555822</v>
      </c>
      <c r="H63" s="9">
        <f t="shared" si="1"/>
        <v>6.5861716548546747</v>
      </c>
      <c r="I63">
        <v>-21.768709999999999</v>
      </c>
    </row>
    <row r="64" spans="1:9" x14ac:dyDescent="0.15">
      <c r="A64">
        <v>23.4</v>
      </c>
      <c r="B64">
        <v>12.7</v>
      </c>
      <c r="C64">
        <v>35.5</v>
      </c>
      <c r="D64">
        <v>-17.5</v>
      </c>
      <c r="E64">
        <v>1525</v>
      </c>
      <c r="F64">
        <v>2262</v>
      </c>
      <c r="G64" s="9">
        <f t="shared" si="0"/>
        <v>7.3297496890415124</v>
      </c>
      <c r="H64" s="9">
        <f t="shared" si="1"/>
        <v>7.7240046566760654</v>
      </c>
      <c r="I64">
        <v>-8.6419750000000004</v>
      </c>
    </row>
    <row r="65" spans="1:9" x14ac:dyDescent="0.15">
      <c r="A65">
        <v>4.0999999999999996</v>
      </c>
      <c r="B65">
        <v>4.0999999999999996</v>
      </c>
      <c r="C65">
        <v>23.8</v>
      </c>
      <c r="D65">
        <v>-49.9</v>
      </c>
      <c r="E65">
        <v>1349</v>
      </c>
      <c r="F65">
        <v>1359</v>
      </c>
      <c r="G65" s="9">
        <f t="shared" si="0"/>
        <v>7.2071188562077557</v>
      </c>
      <c r="H65" s="9">
        <f t="shared" si="1"/>
        <v>7.2145044141511434</v>
      </c>
      <c r="I65">
        <v>-34.059040000000003</v>
      </c>
    </row>
    <row r="66" spans="1:9" x14ac:dyDescent="0.15">
      <c r="A66">
        <v>12.6</v>
      </c>
      <c r="B66">
        <v>8.5</v>
      </c>
      <c r="C66">
        <v>13.5</v>
      </c>
      <c r="D66">
        <v>3</v>
      </c>
      <c r="E66">
        <v>3940</v>
      </c>
      <c r="F66">
        <v>1550</v>
      </c>
      <c r="G66" s="9">
        <f t="shared" si="0"/>
        <v>8.2789360022919798</v>
      </c>
      <c r="H66" s="9">
        <f t="shared" si="1"/>
        <v>7.3460102099132927</v>
      </c>
      <c r="I66">
        <v>21.5</v>
      </c>
    </row>
    <row r="67" spans="1:9" x14ac:dyDescent="0.15">
      <c r="A67">
        <v>10.1</v>
      </c>
      <c r="B67">
        <v>7.9</v>
      </c>
      <c r="C67">
        <v>16.3</v>
      </c>
      <c r="D67">
        <v>-7.7</v>
      </c>
      <c r="E67">
        <v>1724</v>
      </c>
      <c r="F67">
        <v>1872</v>
      </c>
      <c r="G67" s="9">
        <f t="shared" ref="G67:G130" si="2">LN(E67)</f>
        <v>7.4524024512236382</v>
      </c>
      <c r="H67" s="9">
        <f t="shared" ref="H67:H130" si="3">LN(F67)</f>
        <v>7.534762657037537</v>
      </c>
      <c r="I67">
        <v>34.423609999999996</v>
      </c>
    </row>
    <row r="68" spans="1:9" x14ac:dyDescent="0.15">
      <c r="A68">
        <v>1.1000000000000001</v>
      </c>
      <c r="B68">
        <v>1.4</v>
      </c>
      <c r="C68">
        <v>22.3</v>
      </c>
      <c r="D68">
        <v>-89.3</v>
      </c>
      <c r="E68">
        <v>8</v>
      </c>
      <c r="F68">
        <v>488</v>
      </c>
      <c r="G68" s="9">
        <f t="shared" si="2"/>
        <v>2.0794415416798357</v>
      </c>
      <c r="H68" s="9">
        <f t="shared" si="3"/>
        <v>6.1903154058531475</v>
      </c>
      <c r="I68">
        <v>-29.663609999999998</v>
      </c>
    </row>
    <row r="69" spans="1:9" x14ac:dyDescent="0.15">
      <c r="A69">
        <v>14.4</v>
      </c>
      <c r="B69">
        <v>10.8</v>
      </c>
      <c r="C69">
        <v>25.6</v>
      </c>
      <c r="D69">
        <v>-49.9</v>
      </c>
      <c r="E69">
        <v>1349</v>
      </c>
      <c r="F69">
        <v>1938</v>
      </c>
      <c r="G69" s="9">
        <f t="shared" si="2"/>
        <v>7.2071188562077557</v>
      </c>
      <c r="H69" s="9">
        <f t="shared" si="3"/>
        <v>7.5694117924507118</v>
      </c>
      <c r="I69">
        <v>1.6985140000000001</v>
      </c>
    </row>
    <row r="70" spans="1:9" x14ac:dyDescent="0.15">
      <c r="A70">
        <v>14.6</v>
      </c>
      <c r="B70">
        <v>7.9</v>
      </c>
      <c r="C70">
        <v>51.3</v>
      </c>
      <c r="D70">
        <v>-21.1</v>
      </c>
      <c r="E70">
        <v>337</v>
      </c>
      <c r="F70">
        <v>1186</v>
      </c>
      <c r="G70" s="9">
        <f t="shared" si="2"/>
        <v>5.8200829303523616</v>
      </c>
      <c r="H70" s="9">
        <f t="shared" si="3"/>
        <v>7.0783415795576712</v>
      </c>
      <c r="I70">
        <v>-8.4033610000000003</v>
      </c>
    </row>
    <row r="71" spans="1:9" x14ac:dyDescent="0.15">
      <c r="A71">
        <v>12.4</v>
      </c>
      <c r="B71">
        <v>6.9</v>
      </c>
      <c r="C71">
        <v>44.9</v>
      </c>
      <c r="D71">
        <v>27.4</v>
      </c>
      <c r="E71">
        <v>249</v>
      </c>
      <c r="F71">
        <v>1300</v>
      </c>
      <c r="G71" s="9">
        <f t="shared" si="2"/>
        <v>5.5174528964647074</v>
      </c>
      <c r="H71" s="9">
        <f t="shared" si="3"/>
        <v>7.1701195434496281</v>
      </c>
      <c r="I71">
        <v>-15.13158</v>
      </c>
    </row>
    <row r="72" spans="1:9" x14ac:dyDescent="0.15">
      <c r="A72">
        <v>11.3</v>
      </c>
      <c r="B72">
        <v>8.1999999999999993</v>
      </c>
      <c r="C72">
        <v>44.3</v>
      </c>
      <c r="D72">
        <v>18.100000000000001</v>
      </c>
      <c r="E72">
        <v>540</v>
      </c>
      <c r="F72">
        <v>1338</v>
      </c>
      <c r="G72" s="9">
        <f t="shared" si="2"/>
        <v>6.2915691395583204</v>
      </c>
      <c r="H72" s="9">
        <f t="shared" si="3"/>
        <v>7.1989312406881734</v>
      </c>
      <c r="I72">
        <v>-9.6</v>
      </c>
    </row>
    <row r="73" spans="1:9" x14ac:dyDescent="0.15">
      <c r="A73">
        <v>10.9</v>
      </c>
      <c r="B73">
        <v>9.5</v>
      </c>
      <c r="C73">
        <v>26.3</v>
      </c>
      <c r="D73">
        <v>-31.2</v>
      </c>
      <c r="E73">
        <v>115</v>
      </c>
      <c r="F73">
        <v>4206</v>
      </c>
      <c r="G73" s="9">
        <f t="shared" si="2"/>
        <v>4.7449321283632502</v>
      </c>
      <c r="H73" s="9">
        <f t="shared" si="3"/>
        <v>8.3442673562626446</v>
      </c>
      <c r="I73">
        <v>14.95327</v>
      </c>
    </row>
    <row r="74" spans="1:9" x14ac:dyDescent="0.15">
      <c r="A74">
        <v>25.4</v>
      </c>
      <c r="B74">
        <v>25.1</v>
      </c>
      <c r="C74">
        <v>1</v>
      </c>
      <c r="D74">
        <v>19.899999999999999</v>
      </c>
      <c r="E74">
        <v>122</v>
      </c>
      <c r="F74">
        <v>832</v>
      </c>
      <c r="G74" s="9">
        <f t="shared" si="2"/>
        <v>4.8040210447332568</v>
      </c>
      <c r="H74" s="9">
        <f t="shared" si="3"/>
        <v>6.7238324408212087</v>
      </c>
      <c r="I74">
        <v>3.125</v>
      </c>
    </row>
    <row r="75" spans="1:9" x14ac:dyDescent="0.15">
      <c r="A75">
        <v>16.8</v>
      </c>
      <c r="B75">
        <v>14.3</v>
      </c>
      <c r="C75">
        <v>17.8</v>
      </c>
      <c r="D75">
        <v>16.7</v>
      </c>
      <c r="E75">
        <v>474</v>
      </c>
      <c r="F75">
        <v>1147</v>
      </c>
      <c r="G75" s="9">
        <f t="shared" si="2"/>
        <v>6.1612073216950769</v>
      </c>
      <c r="H75" s="9">
        <f t="shared" si="3"/>
        <v>7.0449051171293711</v>
      </c>
      <c r="I75">
        <v>-18.76641</v>
      </c>
    </row>
    <row r="76" spans="1:9" x14ac:dyDescent="0.15">
      <c r="A76">
        <v>7.2</v>
      </c>
      <c r="B76">
        <v>7</v>
      </c>
      <c r="C76">
        <v>12</v>
      </c>
      <c r="D76">
        <v>-16.399999999999999</v>
      </c>
      <c r="E76">
        <v>395</v>
      </c>
      <c r="F76">
        <v>1278</v>
      </c>
      <c r="G76" s="9">
        <f t="shared" si="2"/>
        <v>5.978885764901122</v>
      </c>
      <c r="H76" s="9">
        <f t="shared" si="3"/>
        <v>7.15305163493748</v>
      </c>
      <c r="I76">
        <v>6.9327730000000001</v>
      </c>
    </row>
    <row r="77" spans="1:9" x14ac:dyDescent="0.15">
      <c r="A77">
        <v>18.5</v>
      </c>
      <c r="B77">
        <v>13.8</v>
      </c>
      <c r="C77">
        <v>23.7</v>
      </c>
      <c r="D77">
        <v>-8.9</v>
      </c>
      <c r="E77">
        <v>879</v>
      </c>
      <c r="F77">
        <v>1249</v>
      </c>
      <c r="G77" s="9">
        <f t="shared" si="2"/>
        <v>6.7787848976851768</v>
      </c>
      <c r="H77" s="9">
        <f t="shared" si="3"/>
        <v>7.1300985101255776</v>
      </c>
      <c r="I77">
        <v>-30.080480000000001</v>
      </c>
    </row>
    <row r="78" spans="1:9" x14ac:dyDescent="0.15">
      <c r="A78">
        <v>19.100000000000001</v>
      </c>
      <c r="B78">
        <v>14.8</v>
      </c>
      <c r="C78">
        <v>35.1</v>
      </c>
      <c r="D78">
        <v>-10.9</v>
      </c>
      <c r="E78">
        <v>361</v>
      </c>
      <c r="F78">
        <v>2146</v>
      </c>
      <c r="G78" s="9">
        <f t="shared" si="2"/>
        <v>5.8888779583328805</v>
      </c>
      <c r="H78" s="9">
        <f t="shared" si="3"/>
        <v>7.6713609231906439</v>
      </c>
      <c r="I78">
        <v>-8.7040620000000004</v>
      </c>
    </row>
    <row r="79" spans="1:9" x14ac:dyDescent="0.15">
      <c r="A79">
        <v>14.3</v>
      </c>
      <c r="B79">
        <v>11.6</v>
      </c>
      <c r="C79">
        <v>14.6</v>
      </c>
      <c r="D79">
        <v>-11.2</v>
      </c>
      <c r="E79">
        <v>265</v>
      </c>
      <c r="F79">
        <v>574</v>
      </c>
      <c r="G79" s="9">
        <f t="shared" si="2"/>
        <v>5.579729825986222</v>
      </c>
      <c r="H79" s="9">
        <f t="shared" si="3"/>
        <v>6.3526293963195668</v>
      </c>
      <c r="I79">
        <v>34.627830000000003</v>
      </c>
    </row>
    <row r="80" spans="1:9" x14ac:dyDescent="0.15">
      <c r="A80">
        <v>28.8</v>
      </c>
      <c r="B80">
        <v>18.399999999999999</v>
      </c>
      <c r="C80">
        <v>33.700000000000003</v>
      </c>
      <c r="D80">
        <v>19.3</v>
      </c>
      <c r="E80">
        <v>233</v>
      </c>
      <c r="F80">
        <v>1814</v>
      </c>
      <c r="G80" s="9">
        <f t="shared" si="2"/>
        <v>5.4510384535657002</v>
      </c>
      <c r="H80" s="9">
        <f t="shared" si="3"/>
        <v>7.5032896306750816</v>
      </c>
      <c r="I80">
        <v>-37.443950000000001</v>
      </c>
    </row>
    <row r="81" spans="1:9" x14ac:dyDescent="0.15">
      <c r="A81">
        <v>32</v>
      </c>
      <c r="B81">
        <v>25.7</v>
      </c>
      <c r="C81">
        <v>0</v>
      </c>
      <c r="D81">
        <v>6.8</v>
      </c>
      <c r="E81">
        <v>475</v>
      </c>
      <c r="F81">
        <v>2193</v>
      </c>
      <c r="G81" s="9">
        <f t="shared" si="2"/>
        <v>6.1633148040346413</v>
      </c>
      <c r="H81" s="9">
        <f t="shared" si="3"/>
        <v>7.6930257484178881</v>
      </c>
      <c r="I81">
        <v>10.638299999999999</v>
      </c>
    </row>
    <row r="82" spans="1:9" x14ac:dyDescent="0.15">
      <c r="A82">
        <v>20.8</v>
      </c>
      <c r="B82">
        <v>17.899999999999999</v>
      </c>
      <c r="C82">
        <v>6.5</v>
      </c>
      <c r="D82">
        <v>13.9</v>
      </c>
      <c r="E82">
        <v>216</v>
      </c>
      <c r="F82">
        <v>778</v>
      </c>
      <c r="G82" s="9">
        <f t="shared" si="2"/>
        <v>5.3752784076841653</v>
      </c>
      <c r="H82" s="9">
        <f t="shared" si="3"/>
        <v>6.6567265241783913</v>
      </c>
      <c r="I82">
        <v>19.38775</v>
      </c>
    </row>
    <row r="83" spans="1:9" x14ac:dyDescent="0.15">
      <c r="A83">
        <v>30.5</v>
      </c>
      <c r="B83">
        <v>26.5</v>
      </c>
      <c r="C83">
        <v>4</v>
      </c>
      <c r="D83">
        <v>11.1</v>
      </c>
      <c r="E83">
        <v>399</v>
      </c>
      <c r="F83">
        <v>2332</v>
      </c>
      <c r="G83" s="9">
        <f t="shared" si="2"/>
        <v>5.9889614168898637</v>
      </c>
      <c r="H83" s="9">
        <f t="shared" si="3"/>
        <v>7.754481547470383</v>
      </c>
      <c r="I83">
        <v>-50.314459999999997</v>
      </c>
    </row>
    <row r="84" spans="1:9" x14ac:dyDescent="0.15">
      <c r="A84">
        <v>13.4</v>
      </c>
      <c r="B84">
        <v>12.3</v>
      </c>
      <c r="C84">
        <v>2.1</v>
      </c>
      <c r="D84">
        <v>-13.1</v>
      </c>
      <c r="E84">
        <v>739</v>
      </c>
      <c r="F84">
        <v>1366</v>
      </c>
      <c r="G84" s="9">
        <f t="shared" si="2"/>
        <v>6.6052979209482015</v>
      </c>
      <c r="H84" s="9">
        <f t="shared" si="3"/>
        <v>7.2196420401307355</v>
      </c>
      <c r="I84">
        <v>111.37569999999999</v>
      </c>
    </row>
    <row r="85" spans="1:9" x14ac:dyDescent="0.15">
      <c r="A85">
        <v>10.8</v>
      </c>
      <c r="B85">
        <v>8.5</v>
      </c>
      <c r="C85">
        <v>20.100000000000001</v>
      </c>
      <c r="D85">
        <v>-22.9</v>
      </c>
      <c r="E85">
        <v>4150</v>
      </c>
      <c r="F85">
        <v>2011</v>
      </c>
      <c r="G85" s="9">
        <f t="shared" si="2"/>
        <v>8.3308636132247447</v>
      </c>
      <c r="H85" s="9">
        <f t="shared" si="3"/>
        <v>7.6063873897726522</v>
      </c>
      <c r="I85">
        <v>-21.91235</v>
      </c>
    </row>
    <row r="86" spans="1:9" x14ac:dyDescent="0.15">
      <c r="A86">
        <v>39.5</v>
      </c>
      <c r="B86">
        <v>42.9</v>
      </c>
      <c r="C86">
        <v>0</v>
      </c>
      <c r="D86">
        <v>60.9</v>
      </c>
      <c r="E86">
        <v>317</v>
      </c>
      <c r="F86">
        <v>1162</v>
      </c>
      <c r="G86" s="9">
        <f t="shared" si="2"/>
        <v>5.7589017738772803</v>
      </c>
      <c r="H86" s="9">
        <f t="shared" si="3"/>
        <v>7.0578979374118562</v>
      </c>
      <c r="I86">
        <v>-29.741379999999999</v>
      </c>
    </row>
    <row r="87" spans="1:9" x14ac:dyDescent="0.15">
      <c r="A87">
        <v>31.2</v>
      </c>
      <c r="B87">
        <v>27</v>
      </c>
      <c r="C87">
        <v>14.9</v>
      </c>
      <c r="D87">
        <v>81.3</v>
      </c>
      <c r="E87">
        <v>76</v>
      </c>
      <c r="F87">
        <v>267</v>
      </c>
      <c r="G87" s="9">
        <f t="shared" si="2"/>
        <v>4.3307333402863311</v>
      </c>
      <c r="H87" s="9">
        <f t="shared" si="3"/>
        <v>5.5872486584002496</v>
      </c>
      <c r="I87">
        <v>-44.75806</v>
      </c>
    </row>
    <row r="88" spans="1:9" x14ac:dyDescent="0.15">
      <c r="A88">
        <v>2.2000000000000002</v>
      </c>
      <c r="B88">
        <v>5.3</v>
      </c>
      <c r="C88">
        <v>45.9</v>
      </c>
      <c r="D88">
        <v>-62.4</v>
      </c>
      <c r="E88">
        <v>220</v>
      </c>
      <c r="F88">
        <v>1190</v>
      </c>
      <c r="G88" s="9">
        <f t="shared" si="2"/>
        <v>5.393627546352362</v>
      </c>
      <c r="H88" s="9">
        <f t="shared" si="3"/>
        <v>7.0817085861055746</v>
      </c>
      <c r="I88">
        <v>72.92577</v>
      </c>
    </row>
    <row r="89" spans="1:9" x14ac:dyDescent="0.15">
      <c r="A89">
        <v>8.8000000000000007</v>
      </c>
      <c r="B89">
        <v>8.1999999999999993</v>
      </c>
      <c r="C89">
        <v>8.1</v>
      </c>
      <c r="D89">
        <v>90.2</v>
      </c>
      <c r="E89">
        <v>186</v>
      </c>
      <c r="F89">
        <v>1101</v>
      </c>
      <c r="G89" s="9">
        <f t="shared" si="2"/>
        <v>5.2257466737132017</v>
      </c>
      <c r="H89" s="9">
        <f t="shared" si="3"/>
        <v>7.0039741367226798</v>
      </c>
      <c r="I89">
        <v>-22.514620000000001</v>
      </c>
    </row>
    <row r="90" spans="1:9" x14ac:dyDescent="0.15">
      <c r="A90">
        <v>17.899999999999999</v>
      </c>
      <c r="B90">
        <v>17</v>
      </c>
      <c r="C90">
        <v>9.1</v>
      </c>
      <c r="D90">
        <v>23.9</v>
      </c>
      <c r="E90">
        <v>517</v>
      </c>
      <c r="F90">
        <v>1494</v>
      </c>
      <c r="G90" s="9">
        <f t="shared" si="2"/>
        <v>6.2480428745084291</v>
      </c>
      <c r="H90" s="9">
        <f t="shared" si="3"/>
        <v>7.3092123656927628</v>
      </c>
      <c r="I90">
        <v>2.5445289999999998</v>
      </c>
    </row>
    <row r="91" spans="1:9" x14ac:dyDescent="0.15">
      <c r="A91">
        <v>17.2</v>
      </c>
      <c r="B91">
        <v>11.6</v>
      </c>
      <c r="C91">
        <v>61.9</v>
      </c>
      <c r="D91">
        <v>-22.4</v>
      </c>
      <c r="E91">
        <v>460</v>
      </c>
      <c r="F91">
        <v>1500</v>
      </c>
      <c r="G91" s="9">
        <f t="shared" si="2"/>
        <v>6.131226489483141</v>
      </c>
      <c r="H91" s="9">
        <f t="shared" si="3"/>
        <v>7.3132203870903014</v>
      </c>
      <c r="I91">
        <v>47.42268</v>
      </c>
    </row>
    <row r="92" spans="1:9" x14ac:dyDescent="0.15">
      <c r="A92">
        <v>14.4</v>
      </c>
      <c r="B92">
        <v>9.8000000000000007</v>
      </c>
      <c r="C92">
        <v>27.4</v>
      </c>
      <c r="D92">
        <v>-11.7</v>
      </c>
      <c r="E92">
        <v>743</v>
      </c>
      <c r="F92">
        <v>1444</v>
      </c>
      <c r="G92" s="9">
        <f t="shared" si="2"/>
        <v>6.6106960447177592</v>
      </c>
      <c r="H92" s="9">
        <f t="shared" si="3"/>
        <v>7.2751723194527713</v>
      </c>
      <c r="I92">
        <v>33.407080000000001</v>
      </c>
    </row>
    <row r="93" spans="1:9" x14ac:dyDescent="0.15">
      <c r="A93">
        <v>9.3000000000000007</v>
      </c>
      <c r="B93">
        <v>6.9</v>
      </c>
      <c r="C93">
        <v>36.1</v>
      </c>
      <c r="D93">
        <v>-29.3</v>
      </c>
      <c r="E93">
        <v>157</v>
      </c>
      <c r="F93">
        <v>549</v>
      </c>
      <c r="G93" s="9">
        <f t="shared" si="2"/>
        <v>5.0562458053483077</v>
      </c>
      <c r="H93" s="9">
        <f t="shared" si="3"/>
        <v>6.3080984415095305</v>
      </c>
      <c r="I93">
        <v>32.312919999999998</v>
      </c>
    </row>
    <row r="94" spans="1:9" x14ac:dyDescent="0.15">
      <c r="A94">
        <v>4.8</v>
      </c>
      <c r="B94">
        <v>4.4000000000000004</v>
      </c>
      <c r="C94">
        <v>50.6</v>
      </c>
      <c r="D94">
        <v>-68.7</v>
      </c>
      <c r="E94">
        <v>206</v>
      </c>
      <c r="F94">
        <v>647</v>
      </c>
      <c r="G94" s="9">
        <f t="shared" si="2"/>
        <v>5.3278761687895813</v>
      </c>
      <c r="H94" s="9">
        <f t="shared" si="3"/>
        <v>6.4723462945009009</v>
      </c>
      <c r="I94">
        <v>35.746600000000001</v>
      </c>
    </row>
    <row r="95" spans="1:9" x14ac:dyDescent="0.15">
      <c r="A95">
        <v>18.7</v>
      </c>
      <c r="B95">
        <v>12.9</v>
      </c>
      <c r="C95">
        <v>32.700000000000003</v>
      </c>
      <c r="D95">
        <v>-5.8</v>
      </c>
      <c r="E95">
        <v>169</v>
      </c>
      <c r="F95">
        <v>552</v>
      </c>
      <c r="G95" s="9">
        <f t="shared" si="2"/>
        <v>5.1298987149230735</v>
      </c>
      <c r="H95" s="9">
        <f t="shared" si="3"/>
        <v>6.313548046277095</v>
      </c>
      <c r="I95">
        <v>-13.63636</v>
      </c>
    </row>
    <row r="96" spans="1:9" x14ac:dyDescent="0.15">
      <c r="A96">
        <v>18.5</v>
      </c>
      <c r="B96">
        <v>16.7</v>
      </c>
      <c r="C96">
        <v>18.3</v>
      </c>
      <c r="D96">
        <v>17.399999999999999</v>
      </c>
      <c r="E96">
        <v>147</v>
      </c>
      <c r="F96">
        <v>806</v>
      </c>
      <c r="G96" s="9">
        <f t="shared" si="2"/>
        <v>4.990432586778736</v>
      </c>
      <c r="H96" s="9">
        <f t="shared" si="3"/>
        <v>6.692083742506628</v>
      </c>
      <c r="I96">
        <v>40.178570000000001</v>
      </c>
    </row>
    <row r="97" spans="1:9" x14ac:dyDescent="0.15">
      <c r="A97">
        <v>47.6</v>
      </c>
      <c r="B97">
        <v>22.9</v>
      </c>
      <c r="C97">
        <v>50.9</v>
      </c>
      <c r="D97">
        <v>10.6</v>
      </c>
      <c r="E97">
        <v>341</v>
      </c>
      <c r="F97">
        <v>783</v>
      </c>
      <c r="G97" s="9">
        <f t="shared" si="2"/>
        <v>5.8318824772835169</v>
      </c>
      <c r="H97" s="9">
        <f t="shared" si="3"/>
        <v>6.6631326959908028</v>
      </c>
      <c r="I97">
        <v>52.417299999999997</v>
      </c>
    </row>
    <row r="98" spans="1:9" x14ac:dyDescent="0.15">
      <c r="A98">
        <v>20.2</v>
      </c>
      <c r="B98">
        <v>15.1</v>
      </c>
      <c r="C98">
        <v>20.2</v>
      </c>
      <c r="D98">
        <v>12.6</v>
      </c>
      <c r="E98">
        <v>1593</v>
      </c>
      <c r="F98">
        <v>1439</v>
      </c>
      <c r="G98" s="9">
        <f t="shared" si="2"/>
        <v>7.3733743099100488</v>
      </c>
      <c r="H98" s="9">
        <f t="shared" si="3"/>
        <v>7.2717037068873678</v>
      </c>
      <c r="I98">
        <v>-11.74377</v>
      </c>
    </row>
    <row r="99" spans="1:9" x14ac:dyDescent="0.15">
      <c r="A99">
        <v>8.4</v>
      </c>
      <c r="B99">
        <v>6.9</v>
      </c>
      <c r="C99">
        <v>0</v>
      </c>
      <c r="D99">
        <v>-68</v>
      </c>
      <c r="E99">
        <v>21</v>
      </c>
      <c r="F99">
        <v>740</v>
      </c>
      <c r="G99" s="9">
        <f t="shared" si="2"/>
        <v>3.044522437723423</v>
      </c>
      <c r="H99" s="9">
        <f t="shared" si="3"/>
        <v>6.6066501861982152</v>
      </c>
      <c r="I99">
        <v>-44.821429999999999</v>
      </c>
    </row>
    <row r="100" spans="1:9" x14ac:dyDescent="0.15">
      <c r="A100">
        <v>15.3</v>
      </c>
      <c r="B100">
        <v>11.8</v>
      </c>
      <c r="C100">
        <v>30.6</v>
      </c>
      <c r="D100">
        <v>15.6</v>
      </c>
      <c r="E100">
        <v>502</v>
      </c>
      <c r="F100">
        <v>1033</v>
      </c>
      <c r="G100" s="9">
        <f t="shared" si="2"/>
        <v>6.2186001196917289</v>
      </c>
      <c r="H100" s="9">
        <f t="shared" si="3"/>
        <v>6.9402224691196386</v>
      </c>
      <c r="I100">
        <v>-84.888099999999994</v>
      </c>
    </row>
    <row r="101" spans="1:9" x14ac:dyDescent="0.15">
      <c r="A101">
        <v>12</v>
      </c>
      <c r="B101">
        <v>10.3</v>
      </c>
      <c r="C101">
        <v>21.1</v>
      </c>
      <c r="D101">
        <v>16.2</v>
      </c>
      <c r="E101">
        <v>327</v>
      </c>
      <c r="F101">
        <v>1356</v>
      </c>
      <c r="G101" s="9">
        <f t="shared" si="2"/>
        <v>5.7899601708972535</v>
      </c>
      <c r="H101" s="9">
        <f t="shared" si="3"/>
        <v>7.2122944685003407</v>
      </c>
      <c r="I101">
        <v>-70.295699999999997</v>
      </c>
    </row>
    <row r="102" spans="1:9" x14ac:dyDescent="0.15">
      <c r="A102">
        <v>8.8000000000000007</v>
      </c>
      <c r="B102">
        <v>6</v>
      </c>
      <c r="C102">
        <v>29.8</v>
      </c>
      <c r="D102">
        <v>-61.3</v>
      </c>
      <c r="E102">
        <v>123</v>
      </c>
      <c r="F102">
        <v>537</v>
      </c>
      <c r="G102" s="9">
        <f t="shared" si="2"/>
        <v>4.8121843553724171</v>
      </c>
      <c r="H102" s="9">
        <f t="shared" si="3"/>
        <v>6.2859980945088649</v>
      </c>
      <c r="I102">
        <v>-6.7669170000000003</v>
      </c>
    </row>
    <row r="103" spans="1:9" x14ac:dyDescent="0.15">
      <c r="A103">
        <v>19.399999999999999</v>
      </c>
      <c r="B103">
        <v>14</v>
      </c>
      <c r="C103">
        <v>27.4</v>
      </c>
      <c r="D103">
        <v>-0.4</v>
      </c>
      <c r="E103">
        <v>387</v>
      </c>
      <c r="F103">
        <v>1300</v>
      </c>
      <c r="G103" s="9">
        <f t="shared" si="2"/>
        <v>5.9584246930297819</v>
      </c>
      <c r="H103" s="9">
        <f t="shared" si="3"/>
        <v>7.1701195434496281</v>
      </c>
      <c r="I103">
        <v>22.413789999999999</v>
      </c>
    </row>
    <row r="104" spans="1:9" x14ac:dyDescent="0.15">
      <c r="A104">
        <v>2.6</v>
      </c>
      <c r="B104">
        <v>3.1</v>
      </c>
      <c r="C104">
        <v>35.4</v>
      </c>
      <c r="D104">
        <v>-88.2</v>
      </c>
      <c r="E104">
        <v>23</v>
      </c>
      <c r="F104">
        <v>1030</v>
      </c>
      <c r="G104" s="9">
        <f t="shared" si="2"/>
        <v>3.1354942159291497</v>
      </c>
      <c r="H104" s="9">
        <f t="shared" si="3"/>
        <v>6.9373140812236818</v>
      </c>
      <c r="I104">
        <v>17.84141</v>
      </c>
    </row>
    <row r="105" spans="1:9" x14ac:dyDescent="0.15">
      <c r="A105">
        <v>35.9</v>
      </c>
      <c r="B105">
        <v>33.5</v>
      </c>
      <c r="C105">
        <v>1.8</v>
      </c>
      <c r="D105">
        <v>20.2</v>
      </c>
      <c r="E105">
        <v>185</v>
      </c>
      <c r="F105">
        <v>1188</v>
      </c>
      <c r="G105" s="9">
        <f t="shared" si="2"/>
        <v>5.2203558250783244</v>
      </c>
      <c r="H105" s="9">
        <f t="shared" si="3"/>
        <v>7.0800264999225906</v>
      </c>
      <c r="I105">
        <v>22.049689999999998</v>
      </c>
    </row>
    <row r="106" spans="1:9" x14ac:dyDescent="0.15">
      <c r="A106">
        <v>19.8</v>
      </c>
      <c r="B106">
        <v>16.7</v>
      </c>
      <c r="C106">
        <v>11.9</v>
      </c>
      <c r="D106">
        <v>4.5</v>
      </c>
      <c r="E106">
        <v>184</v>
      </c>
      <c r="F106">
        <v>424</v>
      </c>
      <c r="G106" s="9">
        <f t="shared" si="2"/>
        <v>5.2149357576089859</v>
      </c>
      <c r="H106" s="9">
        <f t="shared" si="3"/>
        <v>6.0497334552319577</v>
      </c>
      <c r="I106">
        <v>6.4763989999999998</v>
      </c>
    </row>
    <row r="107" spans="1:9" x14ac:dyDescent="0.15">
      <c r="A107">
        <v>24.1</v>
      </c>
      <c r="B107">
        <v>9.1999999999999993</v>
      </c>
      <c r="C107">
        <v>46.3</v>
      </c>
      <c r="D107">
        <v>88.5</v>
      </c>
      <c r="E107">
        <v>265</v>
      </c>
      <c r="F107">
        <v>1283</v>
      </c>
      <c r="G107" s="9">
        <f t="shared" si="2"/>
        <v>5.579729825986222</v>
      </c>
      <c r="H107" s="9">
        <f t="shared" si="3"/>
        <v>7.1569563646156364</v>
      </c>
      <c r="I107">
        <v>52.77778</v>
      </c>
    </row>
    <row r="108" spans="1:9" x14ac:dyDescent="0.15">
      <c r="A108">
        <v>3.7</v>
      </c>
      <c r="B108">
        <v>3</v>
      </c>
      <c r="C108">
        <v>32.200000000000003</v>
      </c>
      <c r="D108">
        <v>-50.1</v>
      </c>
      <c r="E108">
        <v>90</v>
      </c>
      <c r="F108">
        <v>799</v>
      </c>
      <c r="G108" s="9">
        <f t="shared" si="2"/>
        <v>4.499809670330265</v>
      </c>
      <c r="H108" s="9">
        <f t="shared" si="3"/>
        <v>6.6833609457662746</v>
      </c>
      <c r="I108">
        <v>5.4830290000000002</v>
      </c>
    </row>
    <row r="109" spans="1:9" x14ac:dyDescent="0.15">
      <c r="A109">
        <v>23.8</v>
      </c>
      <c r="B109">
        <v>19.600000000000001</v>
      </c>
      <c r="C109">
        <v>13.9</v>
      </c>
      <c r="D109">
        <v>17.399999999999999</v>
      </c>
      <c r="E109">
        <v>220</v>
      </c>
      <c r="F109">
        <v>694</v>
      </c>
      <c r="G109" s="9">
        <f t="shared" si="2"/>
        <v>5.393627546352362</v>
      </c>
      <c r="H109" s="9">
        <f t="shared" si="3"/>
        <v>6.5424719605068047</v>
      </c>
      <c r="I109">
        <v>-47.747750000000003</v>
      </c>
    </row>
    <row r="110" spans="1:9" x14ac:dyDescent="0.15">
      <c r="A110">
        <v>19.100000000000001</v>
      </c>
      <c r="B110">
        <v>18.100000000000001</v>
      </c>
      <c r="C110">
        <v>8.9</v>
      </c>
      <c r="D110">
        <v>10.3</v>
      </c>
      <c r="E110">
        <v>152</v>
      </c>
      <c r="F110">
        <v>598</v>
      </c>
      <c r="G110" s="9">
        <f t="shared" si="2"/>
        <v>5.0238805208462765</v>
      </c>
      <c r="H110" s="9">
        <f t="shared" si="3"/>
        <v>6.3935907539506314</v>
      </c>
      <c r="I110">
        <v>-20.961539999999999</v>
      </c>
    </row>
    <row r="111" spans="1:9" x14ac:dyDescent="0.15">
      <c r="A111">
        <v>27.5</v>
      </c>
      <c r="B111">
        <v>20</v>
      </c>
      <c r="C111">
        <v>44.8</v>
      </c>
      <c r="D111">
        <v>45.4</v>
      </c>
      <c r="E111">
        <v>152</v>
      </c>
      <c r="F111">
        <v>1587</v>
      </c>
      <c r="G111" s="9">
        <f t="shared" si="2"/>
        <v>5.0238805208462765</v>
      </c>
      <c r="H111" s="9">
        <f t="shared" si="3"/>
        <v>7.3696007205264094</v>
      </c>
      <c r="I111">
        <v>25.597270000000002</v>
      </c>
    </row>
    <row r="112" spans="1:9" x14ac:dyDescent="0.15">
      <c r="A112">
        <v>30.3</v>
      </c>
      <c r="B112">
        <v>21.7</v>
      </c>
      <c r="C112">
        <v>32.200000000000003</v>
      </c>
      <c r="D112">
        <v>20.100000000000001</v>
      </c>
      <c r="E112">
        <v>379</v>
      </c>
      <c r="F112">
        <v>1836</v>
      </c>
      <c r="G112" s="9">
        <f t="shared" si="2"/>
        <v>5.9375362050824263</v>
      </c>
      <c r="H112" s="9">
        <f t="shared" si="3"/>
        <v>7.5153445711804361</v>
      </c>
      <c r="I112">
        <v>-48.028680000000001</v>
      </c>
    </row>
    <row r="113" spans="1:9" x14ac:dyDescent="0.15">
      <c r="A113">
        <v>19.5</v>
      </c>
      <c r="B113">
        <v>19.2</v>
      </c>
      <c r="C113">
        <v>2.1</v>
      </c>
      <c r="D113">
        <v>6.7</v>
      </c>
      <c r="E113">
        <v>388</v>
      </c>
      <c r="F113">
        <v>1212</v>
      </c>
      <c r="G113" s="9">
        <f t="shared" si="2"/>
        <v>5.9610053396232736</v>
      </c>
      <c r="H113" s="9">
        <f t="shared" si="3"/>
        <v>7.1000271666292596</v>
      </c>
      <c r="I113">
        <v>-30.81232</v>
      </c>
    </row>
    <row r="114" spans="1:9" x14ac:dyDescent="0.15">
      <c r="A114">
        <v>13.8</v>
      </c>
      <c r="B114">
        <v>10.4</v>
      </c>
      <c r="C114">
        <v>34.9</v>
      </c>
      <c r="D114">
        <v>-22.5</v>
      </c>
      <c r="E114">
        <v>101</v>
      </c>
      <c r="F114">
        <v>300</v>
      </c>
      <c r="G114" s="9">
        <f t="shared" si="2"/>
        <v>4.6151205168412597</v>
      </c>
      <c r="H114" s="9">
        <f t="shared" si="3"/>
        <v>5.7037824746562009</v>
      </c>
      <c r="I114">
        <v>12.75168</v>
      </c>
    </row>
    <row r="115" spans="1:9" x14ac:dyDescent="0.15">
      <c r="A115">
        <v>15.6</v>
      </c>
      <c r="B115">
        <v>10.4</v>
      </c>
      <c r="C115">
        <v>28.8</v>
      </c>
      <c r="D115">
        <v>-11.7</v>
      </c>
      <c r="E115">
        <v>738</v>
      </c>
      <c r="F115">
        <v>997</v>
      </c>
      <c r="G115" s="9">
        <f t="shared" si="2"/>
        <v>6.6039438246004725</v>
      </c>
      <c r="H115" s="9">
        <f t="shared" si="3"/>
        <v>6.9047507699618382</v>
      </c>
      <c r="I115">
        <v>-38.659790000000001</v>
      </c>
    </row>
    <row r="116" spans="1:9" x14ac:dyDescent="0.15">
      <c r="A116">
        <v>21.2</v>
      </c>
      <c r="B116">
        <v>16.899999999999999</v>
      </c>
      <c r="C116">
        <v>12.2</v>
      </c>
      <c r="D116">
        <v>13.2</v>
      </c>
      <c r="E116">
        <v>175</v>
      </c>
      <c r="F116">
        <v>917</v>
      </c>
      <c r="G116" s="9">
        <f t="shared" si="2"/>
        <v>5.1647859739235145</v>
      </c>
      <c r="H116" s="9">
        <f t="shared" si="3"/>
        <v>6.8211074722564646</v>
      </c>
      <c r="I116">
        <v>-6.6844919999999997</v>
      </c>
    </row>
    <row r="117" spans="1:9" x14ac:dyDescent="0.15">
      <c r="A117">
        <v>15.6</v>
      </c>
      <c r="B117">
        <v>12.1</v>
      </c>
      <c r="C117">
        <v>25</v>
      </c>
      <c r="D117">
        <v>3.2</v>
      </c>
      <c r="E117">
        <v>226</v>
      </c>
      <c r="F117">
        <v>767</v>
      </c>
      <c r="G117" s="9">
        <f t="shared" si="2"/>
        <v>5.4205349992722862</v>
      </c>
      <c r="H117" s="9">
        <f t="shared" si="3"/>
        <v>6.642486801367256</v>
      </c>
      <c r="I117">
        <v>-42.439030000000002</v>
      </c>
    </row>
    <row r="118" spans="1:9" x14ac:dyDescent="0.15">
      <c r="A118">
        <v>8.1</v>
      </c>
      <c r="B118">
        <v>5.7</v>
      </c>
      <c r="C118">
        <v>46.2</v>
      </c>
      <c r="D118">
        <v>-15.1</v>
      </c>
      <c r="E118">
        <v>128</v>
      </c>
      <c r="F118">
        <v>581</v>
      </c>
      <c r="G118" s="9">
        <f t="shared" si="2"/>
        <v>4.8520302639196169</v>
      </c>
      <c r="H118" s="9">
        <f t="shared" si="3"/>
        <v>6.3647507568519108</v>
      </c>
      <c r="I118">
        <v>31.693989999999999</v>
      </c>
    </row>
    <row r="119" spans="1:9" x14ac:dyDescent="0.15">
      <c r="A119">
        <v>21.1</v>
      </c>
      <c r="B119">
        <v>19.8</v>
      </c>
      <c r="C119">
        <v>4.0999999999999996</v>
      </c>
      <c r="D119">
        <v>5.2</v>
      </c>
      <c r="E119">
        <v>205</v>
      </c>
      <c r="F119">
        <v>565</v>
      </c>
      <c r="G119" s="9">
        <f t="shared" si="2"/>
        <v>5.3230099791384085</v>
      </c>
      <c r="H119" s="9">
        <f t="shared" si="3"/>
        <v>6.3368257311464413</v>
      </c>
      <c r="I119">
        <v>14.28571</v>
      </c>
    </row>
    <row r="120" spans="1:9" x14ac:dyDescent="0.15">
      <c r="A120">
        <v>17</v>
      </c>
      <c r="B120">
        <v>15.8</v>
      </c>
      <c r="C120">
        <v>0.2</v>
      </c>
      <c r="D120">
        <v>10.9</v>
      </c>
      <c r="E120">
        <v>125</v>
      </c>
      <c r="F120">
        <v>722</v>
      </c>
      <c r="G120" s="9">
        <f t="shared" si="2"/>
        <v>4.8283137373023015</v>
      </c>
      <c r="H120" s="9">
        <f t="shared" si="3"/>
        <v>6.5820251388928259</v>
      </c>
      <c r="I120">
        <v>-10.465120000000001</v>
      </c>
    </row>
    <row r="121" spans="1:9" x14ac:dyDescent="0.15">
      <c r="A121">
        <v>32.799999999999997</v>
      </c>
      <c r="B121">
        <v>30.2</v>
      </c>
      <c r="C121">
        <v>2.4</v>
      </c>
      <c r="D121">
        <v>10.4</v>
      </c>
      <c r="E121">
        <v>76</v>
      </c>
      <c r="F121">
        <v>439</v>
      </c>
      <c r="G121" s="9">
        <f t="shared" si="2"/>
        <v>4.3307333402863311</v>
      </c>
      <c r="H121" s="9">
        <f t="shared" si="3"/>
        <v>6.0844994130751715</v>
      </c>
      <c r="I121">
        <v>-4.6357619999999997</v>
      </c>
    </row>
    <row r="122" spans="1:9" x14ac:dyDescent="0.15">
      <c r="A122">
        <v>5.8</v>
      </c>
      <c r="B122">
        <v>8.1</v>
      </c>
      <c r="C122">
        <v>79.5</v>
      </c>
      <c r="D122">
        <v>24.3</v>
      </c>
      <c r="E122">
        <v>130</v>
      </c>
      <c r="F122">
        <v>780</v>
      </c>
      <c r="G122" s="9">
        <f t="shared" si="2"/>
        <v>4.8675344504555822</v>
      </c>
      <c r="H122" s="9">
        <f t="shared" si="3"/>
        <v>6.6592939196836376</v>
      </c>
      <c r="I122">
        <v>7.97546</v>
      </c>
    </row>
    <row r="123" spans="1:9" x14ac:dyDescent="0.15">
      <c r="A123">
        <v>23.7</v>
      </c>
      <c r="B123">
        <v>15.3</v>
      </c>
      <c r="C123">
        <v>31.8</v>
      </c>
      <c r="D123">
        <v>20.9</v>
      </c>
      <c r="E123">
        <v>667</v>
      </c>
      <c r="F123">
        <v>1571</v>
      </c>
      <c r="G123" s="9">
        <f t="shared" si="2"/>
        <v>6.5027900459156234</v>
      </c>
      <c r="H123" s="9">
        <f t="shared" si="3"/>
        <v>7.3594676382556212</v>
      </c>
      <c r="I123">
        <v>-67.5</v>
      </c>
    </row>
    <row r="124" spans="1:9" x14ac:dyDescent="0.15">
      <c r="A124">
        <v>11.9</v>
      </c>
      <c r="B124">
        <v>8.9</v>
      </c>
      <c r="C124">
        <v>6</v>
      </c>
      <c r="D124">
        <v>-30.4</v>
      </c>
      <c r="E124">
        <v>70</v>
      </c>
      <c r="F124">
        <v>526</v>
      </c>
      <c r="G124" s="9">
        <f t="shared" si="2"/>
        <v>4.2484952420493594</v>
      </c>
      <c r="H124" s="9">
        <f t="shared" si="3"/>
        <v>6.2653012127377101</v>
      </c>
      <c r="I124">
        <v>-8.0912869999999995</v>
      </c>
    </row>
    <row r="125" spans="1:9" x14ac:dyDescent="0.15">
      <c r="A125">
        <v>16.8</v>
      </c>
      <c r="B125">
        <v>11.2</v>
      </c>
      <c r="C125">
        <v>38.299999999999997</v>
      </c>
      <c r="D125">
        <v>11.6</v>
      </c>
      <c r="E125">
        <v>185</v>
      </c>
      <c r="F125">
        <v>752</v>
      </c>
      <c r="G125" s="9">
        <f t="shared" si="2"/>
        <v>5.2203558250783244</v>
      </c>
      <c r="H125" s="9">
        <f t="shared" si="3"/>
        <v>6.62273632394984</v>
      </c>
      <c r="I125">
        <v>-22.508040000000001</v>
      </c>
    </row>
    <row r="126" spans="1:9" x14ac:dyDescent="0.15">
      <c r="A126">
        <v>15.7</v>
      </c>
      <c r="B126">
        <v>9.1999999999999993</v>
      </c>
      <c r="C126">
        <v>27.9</v>
      </c>
      <c r="D126">
        <v>7.5</v>
      </c>
      <c r="E126">
        <v>1299</v>
      </c>
      <c r="F126">
        <v>1296</v>
      </c>
      <c r="G126" s="9">
        <f t="shared" si="2"/>
        <v>7.1693500166705997</v>
      </c>
      <c r="H126" s="9">
        <f t="shared" si="3"/>
        <v>7.1670378769122198</v>
      </c>
      <c r="I126">
        <v>-40.625</v>
      </c>
    </row>
    <row r="127" spans="1:9" x14ac:dyDescent="0.15">
      <c r="A127">
        <v>12.1</v>
      </c>
      <c r="B127">
        <v>7.1</v>
      </c>
      <c r="C127">
        <v>34.1</v>
      </c>
      <c r="D127">
        <v>-13.8</v>
      </c>
      <c r="E127">
        <v>1134</v>
      </c>
      <c r="F127">
        <v>1289</v>
      </c>
      <c r="G127" s="9">
        <f t="shared" si="2"/>
        <v>7.0335064842876971</v>
      </c>
      <c r="H127" s="9">
        <f t="shared" si="3"/>
        <v>7.161622002939187</v>
      </c>
      <c r="I127">
        <v>-55.280900000000003</v>
      </c>
    </row>
    <row r="128" spans="1:9" x14ac:dyDescent="0.15">
      <c r="A128">
        <v>25.4</v>
      </c>
      <c r="B128">
        <v>12.4</v>
      </c>
      <c r="C128">
        <v>47.7</v>
      </c>
      <c r="D128">
        <v>19.399999999999999</v>
      </c>
      <c r="E128">
        <v>280</v>
      </c>
      <c r="F128">
        <v>1264</v>
      </c>
      <c r="G128" s="9">
        <f t="shared" si="2"/>
        <v>5.6347896031692493</v>
      </c>
      <c r="H128" s="9">
        <f t="shared" si="3"/>
        <v>7.1420365747068031</v>
      </c>
      <c r="I128">
        <v>2.51938</v>
      </c>
    </row>
    <row r="129" spans="1:9" x14ac:dyDescent="0.15">
      <c r="A129">
        <v>14</v>
      </c>
      <c r="B129">
        <v>8.4</v>
      </c>
      <c r="C129">
        <v>30</v>
      </c>
      <c r="D129">
        <v>2.1</v>
      </c>
      <c r="E129">
        <v>1156</v>
      </c>
      <c r="F129">
        <v>960</v>
      </c>
      <c r="G129" s="9">
        <f t="shared" si="2"/>
        <v>7.0527210492323231</v>
      </c>
      <c r="H129" s="9">
        <f t="shared" si="3"/>
        <v>6.866933284461882</v>
      </c>
      <c r="I129">
        <v>-43.424320000000002</v>
      </c>
    </row>
    <row r="130" spans="1:9" x14ac:dyDescent="0.15">
      <c r="A130">
        <v>12.8</v>
      </c>
      <c r="B130">
        <v>8</v>
      </c>
      <c r="C130">
        <v>27.5</v>
      </c>
      <c r="D130">
        <v>2.5</v>
      </c>
      <c r="E130">
        <v>1131</v>
      </c>
      <c r="F130">
        <v>1380</v>
      </c>
      <c r="G130" s="9">
        <f t="shared" si="2"/>
        <v>7.0308574761161209</v>
      </c>
      <c r="H130" s="9">
        <f t="shared" si="3"/>
        <v>7.2298387781512501</v>
      </c>
      <c r="I130">
        <v>-36.790610000000001</v>
      </c>
    </row>
    <row r="131" spans="1:9" x14ac:dyDescent="0.15">
      <c r="A131">
        <v>31.4</v>
      </c>
      <c r="B131">
        <v>29.9</v>
      </c>
      <c r="C131">
        <v>2.2000000000000002</v>
      </c>
      <c r="D131">
        <v>27.5</v>
      </c>
      <c r="E131">
        <v>191</v>
      </c>
      <c r="F131">
        <v>1222</v>
      </c>
      <c r="G131" s="9">
        <f t="shared" ref="G131:G143" si="4">LN(E131)</f>
        <v>5.2522734280466299</v>
      </c>
      <c r="H131" s="9">
        <f t="shared" ref="H131:H143" si="5">LN(F131)</f>
        <v>7.108244139731541</v>
      </c>
      <c r="I131">
        <v>-52.103560000000002</v>
      </c>
    </row>
    <row r="132" spans="1:9" x14ac:dyDescent="0.15">
      <c r="A132">
        <v>39.1</v>
      </c>
      <c r="B132">
        <v>37.299999999999997</v>
      </c>
      <c r="C132">
        <v>2.8</v>
      </c>
      <c r="D132">
        <v>42.3</v>
      </c>
      <c r="E132">
        <v>267</v>
      </c>
      <c r="F132">
        <v>545</v>
      </c>
      <c r="G132" s="9">
        <f t="shared" si="4"/>
        <v>5.5872486584002496</v>
      </c>
      <c r="H132" s="9">
        <f t="shared" si="5"/>
        <v>6.300785794663244</v>
      </c>
      <c r="I132">
        <v>19.399999999999999</v>
      </c>
    </row>
    <row r="133" spans="1:9" x14ac:dyDescent="0.15">
      <c r="A133">
        <v>20.2</v>
      </c>
      <c r="B133">
        <v>18.600000000000001</v>
      </c>
      <c r="C133">
        <v>10.5</v>
      </c>
      <c r="D133">
        <v>16.3</v>
      </c>
      <c r="E133">
        <v>172</v>
      </c>
      <c r="F133">
        <v>14336</v>
      </c>
      <c r="G133" s="9">
        <f t="shared" si="4"/>
        <v>5.1474944768134527</v>
      </c>
      <c r="H133" s="9">
        <f t="shared" si="5"/>
        <v>9.570529135214711</v>
      </c>
      <c r="I133">
        <v>107.8947</v>
      </c>
    </row>
    <row r="134" spans="1:9" x14ac:dyDescent="0.15">
      <c r="A134">
        <v>2.1</v>
      </c>
      <c r="B134">
        <v>3.6</v>
      </c>
      <c r="C134">
        <v>37.200000000000003</v>
      </c>
      <c r="D134">
        <v>-87</v>
      </c>
      <c r="E134">
        <v>4</v>
      </c>
      <c r="F134">
        <v>889</v>
      </c>
      <c r="G134" s="9">
        <f t="shared" si="4"/>
        <v>1.3862943611198906</v>
      </c>
      <c r="H134" s="9">
        <f t="shared" si="5"/>
        <v>6.7900972355139046</v>
      </c>
      <c r="I134">
        <v>52.549019999999999</v>
      </c>
    </row>
    <row r="135" spans="1:9" x14ac:dyDescent="0.15">
      <c r="A135">
        <v>21</v>
      </c>
      <c r="B135">
        <v>16.7</v>
      </c>
      <c r="C135">
        <v>18.8</v>
      </c>
      <c r="D135">
        <v>19.7</v>
      </c>
      <c r="E135">
        <v>65</v>
      </c>
      <c r="F135">
        <v>653</v>
      </c>
      <c r="G135" s="9">
        <f t="shared" si="4"/>
        <v>4.1743872698956368</v>
      </c>
      <c r="H135" s="9">
        <f t="shared" si="5"/>
        <v>6.481577129276431</v>
      </c>
      <c r="I135">
        <v>-27.02703</v>
      </c>
    </row>
    <row r="136" spans="1:9" x14ac:dyDescent="0.15">
      <c r="A136">
        <v>25.3</v>
      </c>
      <c r="B136">
        <v>17.399999999999999</v>
      </c>
      <c r="C136">
        <v>32.4</v>
      </c>
      <c r="D136">
        <v>26.1</v>
      </c>
      <c r="E136">
        <v>757</v>
      </c>
      <c r="F136">
        <v>1630</v>
      </c>
      <c r="G136" s="9">
        <f t="shared" si="4"/>
        <v>6.6293632534374485</v>
      </c>
      <c r="H136" s="9">
        <f t="shared" si="5"/>
        <v>7.3963352938008082</v>
      </c>
      <c r="I136">
        <v>-47.183100000000003</v>
      </c>
    </row>
    <row r="137" spans="1:9" x14ac:dyDescent="0.15">
      <c r="A137">
        <v>14.9</v>
      </c>
      <c r="B137">
        <v>7.6</v>
      </c>
      <c r="C137">
        <v>39.799999999999997</v>
      </c>
      <c r="D137">
        <v>16.600000000000001</v>
      </c>
      <c r="E137">
        <v>365</v>
      </c>
      <c r="F137">
        <v>334</v>
      </c>
      <c r="G137" s="9">
        <f t="shared" si="4"/>
        <v>5.8998973535824915</v>
      </c>
      <c r="H137" s="9">
        <f t="shared" si="5"/>
        <v>5.8111409929767008</v>
      </c>
      <c r="I137">
        <v>-55.685130000000001</v>
      </c>
    </row>
    <row r="138" spans="1:9" x14ac:dyDescent="0.15">
      <c r="A138">
        <v>12.6</v>
      </c>
      <c r="B138">
        <v>6.7</v>
      </c>
      <c r="C138">
        <v>47.3</v>
      </c>
      <c r="D138">
        <v>-15.9</v>
      </c>
      <c r="E138">
        <v>187</v>
      </c>
      <c r="F138">
        <v>447</v>
      </c>
      <c r="G138" s="9">
        <f t="shared" si="4"/>
        <v>5.2311086168545868</v>
      </c>
      <c r="H138" s="9">
        <f t="shared" si="5"/>
        <v>6.1025585946135692</v>
      </c>
      <c r="I138">
        <v>-23.036650000000002</v>
      </c>
    </row>
    <row r="139" spans="1:9" x14ac:dyDescent="0.15">
      <c r="A139">
        <v>12.5</v>
      </c>
      <c r="B139">
        <v>7.3</v>
      </c>
      <c r="C139">
        <v>40.4</v>
      </c>
      <c r="D139">
        <v>-3.5</v>
      </c>
      <c r="E139">
        <v>524</v>
      </c>
      <c r="F139">
        <v>732</v>
      </c>
      <c r="G139" s="9">
        <f t="shared" si="4"/>
        <v>6.261491684321042</v>
      </c>
      <c r="H139" s="9">
        <f t="shared" si="5"/>
        <v>6.5957805139613113</v>
      </c>
      <c r="I139">
        <v>-9.4017099999999996</v>
      </c>
    </row>
    <row r="140" spans="1:9" x14ac:dyDescent="0.15">
      <c r="A140">
        <v>13.7</v>
      </c>
      <c r="B140">
        <v>8.6999999999999993</v>
      </c>
      <c r="C140">
        <v>42.5</v>
      </c>
      <c r="D140">
        <v>-5.7</v>
      </c>
      <c r="E140">
        <v>214</v>
      </c>
      <c r="F140">
        <v>506</v>
      </c>
      <c r="G140" s="9">
        <f t="shared" si="4"/>
        <v>5.3659760150218512</v>
      </c>
      <c r="H140" s="9">
        <f t="shared" si="5"/>
        <v>6.2265366692874657</v>
      </c>
      <c r="I140">
        <v>-62.857140000000001</v>
      </c>
    </row>
    <row r="141" spans="1:9" x14ac:dyDescent="0.15">
      <c r="A141">
        <v>9.1</v>
      </c>
      <c r="B141">
        <v>6.9</v>
      </c>
      <c r="C141">
        <v>47.4</v>
      </c>
      <c r="D141">
        <v>-30.1</v>
      </c>
      <c r="E141">
        <v>621</v>
      </c>
      <c r="F141">
        <v>884</v>
      </c>
      <c r="G141" s="9">
        <f t="shared" si="4"/>
        <v>6.4313310819334788</v>
      </c>
      <c r="H141" s="9">
        <f t="shared" si="5"/>
        <v>6.7844570626376433</v>
      </c>
      <c r="I141">
        <v>-31.330469999999998</v>
      </c>
    </row>
    <row r="142" spans="1:9" x14ac:dyDescent="0.15">
      <c r="A142">
        <v>13.7</v>
      </c>
      <c r="B142">
        <v>9.5</v>
      </c>
      <c r="C142">
        <v>37.9</v>
      </c>
      <c r="D142">
        <v>12.6</v>
      </c>
      <c r="E142">
        <v>187</v>
      </c>
      <c r="F142">
        <v>334</v>
      </c>
      <c r="G142" s="9">
        <f t="shared" si="4"/>
        <v>5.2311086168545868</v>
      </c>
      <c r="H142" s="9">
        <f t="shared" si="5"/>
        <v>5.8111409929767008</v>
      </c>
      <c r="I142">
        <v>-19.140630000000002</v>
      </c>
    </row>
    <row r="143" spans="1:9" x14ac:dyDescent="0.15">
      <c r="A143">
        <v>37</v>
      </c>
      <c r="B143">
        <v>15.7</v>
      </c>
      <c r="C143">
        <v>53.9</v>
      </c>
      <c r="D143">
        <v>45.1</v>
      </c>
      <c r="E143">
        <v>3523</v>
      </c>
      <c r="F143">
        <v>1316</v>
      </c>
      <c r="G143" s="9">
        <f t="shared" si="4"/>
        <v>8.1670681783412373</v>
      </c>
      <c r="H143" s="9">
        <f t="shared" si="5"/>
        <v>7.1823521118852627</v>
      </c>
      <c r="I143">
        <v>38.13814</v>
      </c>
    </row>
    <row r="145" spans="5:8" x14ac:dyDescent="0.15">
      <c r="E145" s="8"/>
      <c r="F145" s="8"/>
      <c r="G145" s="8"/>
      <c r="H145" s="8"/>
    </row>
    <row r="146" spans="5:8" x14ac:dyDescent="0.15">
      <c r="E146" s="10"/>
      <c r="F146" s="10"/>
    </row>
    <row r="148" spans="5:8" x14ac:dyDescent="0.15">
      <c r="E148" s="8"/>
      <c r="F148" s="8"/>
      <c r="G148" s="8"/>
      <c r="H148" s="8"/>
    </row>
    <row r="151" spans="5:8" x14ac:dyDescent="0.15">
      <c r="E151" s="8"/>
      <c r="F151" s="8"/>
      <c r="G151" s="8"/>
      <c r="H151" s="8"/>
    </row>
    <row r="154" spans="5:8" x14ac:dyDescent="0.15">
      <c r="E154" s="8"/>
      <c r="F154" s="8"/>
      <c r="G154" s="8"/>
      <c r="H15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C614-B55E-F848-AEF3-72B81EE244A9}">
  <dimension ref="A1:I23"/>
  <sheetViews>
    <sheetView topLeftCell="A14" workbookViewId="0">
      <selection activeCell="K11" sqref="K11"/>
    </sheetView>
  </sheetViews>
  <sheetFormatPr baseColWidth="10" defaultRowHeight="13" x14ac:dyDescent="0.15"/>
  <sheetData>
    <row r="1" spans="1:9" x14ac:dyDescent="0.15">
      <c r="A1" t="s">
        <v>9</v>
      </c>
    </row>
    <row r="2" spans="1:9" ht="14" thickBot="1" x14ac:dyDescent="0.2"/>
    <row r="3" spans="1:9" x14ac:dyDescent="0.15">
      <c r="A3" s="5" t="s">
        <v>10</v>
      </c>
      <c r="B3" s="5"/>
    </row>
    <row r="4" spans="1:9" x14ac:dyDescent="0.15">
      <c r="A4" s="2" t="s">
        <v>11</v>
      </c>
      <c r="B4" s="2">
        <v>0.27202851882427809</v>
      </c>
    </row>
    <row r="5" spans="1:9" x14ac:dyDescent="0.15">
      <c r="A5" s="2" t="s">
        <v>12</v>
      </c>
      <c r="B5" s="2">
        <v>7.3999515053730605E-2</v>
      </c>
    </row>
    <row r="6" spans="1:9" x14ac:dyDescent="0.15">
      <c r="A6" s="2" t="s">
        <v>13</v>
      </c>
      <c r="B6" s="2">
        <v>3.284393794500752E-2</v>
      </c>
    </row>
    <row r="7" spans="1:9" x14ac:dyDescent="0.15">
      <c r="A7" s="2" t="s">
        <v>14</v>
      </c>
      <c r="B7" s="2">
        <v>38.766457643863461</v>
      </c>
    </row>
    <row r="8" spans="1:9" ht="14" thickBot="1" x14ac:dyDescent="0.2">
      <c r="A8" s="3" t="s">
        <v>15</v>
      </c>
      <c r="B8" s="3">
        <v>142</v>
      </c>
    </row>
    <row r="10" spans="1:9" ht="14" thickBot="1" x14ac:dyDescent="0.2">
      <c r="A10" t="s">
        <v>16</v>
      </c>
    </row>
    <row r="11" spans="1:9" x14ac:dyDescent="0.15">
      <c r="A11" s="4"/>
      <c r="B11" s="4" t="s">
        <v>21</v>
      </c>
      <c r="C11" s="4" t="s">
        <v>22</v>
      </c>
      <c r="D11" s="4" t="s">
        <v>23</v>
      </c>
      <c r="E11" s="4" t="s">
        <v>24</v>
      </c>
      <c r="F11" s="4" t="s">
        <v>25</v>
      </c>
    </row>
    <row r="12" spans="1:9" x14ac:dyDescent="0.15">
      <c r="A12" s="2" t="s">
        <v>17</v>
      </c>
      <c r="B12" s="2">
        <v>6</v>
      </c>
      <c r="C12" s="2">
        <v>16213.01052946056</v>
      </c>
      <c r="D12" s="2">
        <v>2702.16842157676</v>
      </c>
      <c r="E12" s="2">
        <v>1.7980434306203941</v>
      </c>
      <c r="F12" s="2">
        <v>0.10400244894873452</v>
      </c>
    </row>
    <row r="13" spans="1:9" x14ac:dyDescent="0.15">
      <c r="A13" s="2" t="s">
        <v>18</v>
      </c>
      <c r="B13" s="2">
        <v>135</v>
      </c>
      <c r="C13" s="2">
        <v>202883.16216421709</v>
      </c>
      <c r="D13" s="2">
        <v>1502.8382382534598</v>
      </c>
      <c r="E13" s="2"/>
      <c r="F13" s="2"/>
    </row>
    <row r="14" spans="1:9" ht="14" thickBot="1" x14ac:dyDescent="0.2">
      <c r="A14" s="3" t="s">
        <v>19</v>
      </c>
      <c r="B14" s="3">
        <v>141</v>
      </c>
      <c r="C14" s="3">
        <v>219096.17269367765</v>
      </c>
      <c r="D14" s="3"/>
      <c r="E14" s="3"/>
      <c r="F14" s="3"/>
    </row>
    <row r="16" spans="1:9" x14ac:dyDescent="0.15">
      <c r="B16" t="s">
        <v>26</v>
      </c>
      <c r="C16" t="s">
        <v>14</v>
      </c>
      <c r="D16" t="s">
        <v>27</v>
      </c>
      <c r="E16" t="s">
        <v>28</v>
      </c>
      <c r="F16" t="s">
        <v>29</v>
      </c>
      <c r="G16" t="s">
        <v>30</v>
      </c>
      <c r="H16" t="s">
        <v>31</v>
      </c>
      <c r="I16" t="s">
        <v>32</v>
      </c>
    </row>
    <row r="17" spans="1:9" x14ac:dyDescent="0.15">
      <c r="A17" t="s">
        <v>20</v>
      </c>
      <c r="B17">
        <v>-6.707352581477009</v>
      </c>
      <c r="C17">
        <v>13.071115888494584</v>
      </c>
      <c r="D17">
        <v>-0.51314307352908817</v>
      </c>
      <c r="E17">
        <v>0.6086899523442928</v>
      </c>
      <c r="F17">
        <v>-32.557997529052102</v>
      </c>
      <c r="G17">
        <v>19.143292366098084</v>
      </c>
      <c r="H17">
        <v>-32.557997529052102</v>
      </c>
      <c r="I17">
        <v>19.143292366098084</v>
      </c>
    </row>
    <row r="18" spans="1:9" x14ac:dyDescent="0.15">
      <c r="A18" t="s">
        <v>0</v>
      </c>
      <c r="B18">
        <v>-1.6597503414196073</v>
      </c>
      <c r="C18">
        <v>0.95836494815909512</v>
      </c>
      <c r="D18">
        <v>-1.7318562668718112</v>
      </c>
      <c r="E18">
        <v>8.558335695476689E-2</v>
      </c>
      <c r="F18">
        <v>-3.5551012981706509</v>
      </c>
      <c r="G18">
        <v>0.23560061533143631</v>
      </c>
      <c r="H18">
        <v>-3.5551012981706509</v>
      </c>
      <c r="I18">
        <v>0.23560061533143631</v>
      </c>
    </row>
    <row r="19" spans="1:9" x14ac:dyDescent="0.15">
      <c r="A19" t="s">
        <v>7</v>
      </c>
      <c r="B19">
        <v>1.3166143317599459</v>
      </c>
      <c r="C19">
        <v>1.3506700973164862</v>
      </c>
      <c r="D19">
        <v>0.97478602241642698</v>
      </c>
      <c r="E19">
        <v>0.33140986162374919</v>
      </c>
      <c r="F19">
        <v>-1.3545954888008651</v>
      </c>
      <c r="G19">
        <v>3.9878241523207567</v>
      </c>
      <c r="H19">
        <v>-1.3545954888008651</v>
      </c>
      <c r="I19">
        <v>3.9878241523207567</v>
      </c>
    </row>
    <row r="20" spans="1:9" x14ac:dyDescent="0.15">
      <c r="A20" t="s">
        <v>1</v>
      </c>
      <c r="B20">
        <v>0.40218825290743326</v>
      </c>
      <c r="C20">
        <v>0.27238150105053505</v>
      </c>
      <c r="D20">
        <v>1.4765622898627579</v>
      </c>
      <c r="E20">
        <v>0.14212186475650163</v>
      </c>
      <c r="F20">
        <v>-0.13649853818304655</v>
      </c>
      <c r="G20">
        <v>0.94087504399791311</v>
      </c>
      <c r="H20">
        <v>-0.13649853818304655</v>
      </c>
      <c r="I20">
        <v>0.94087504399791311</v>
      </c>
    </row>
    <row r="21" spans="1:9" x14ac:dyDescent="0.15">
      <c r="A21" t="s">
        <v>2</v>
      </c>
      <c r="B21">
        <v>0.1153575555577086</v>
      </c>
      <c r="C21">
        <v>9.0121351806417477E-2</v>
      </c>
      <c r="D21">
        <v>1.2800246916568563</v>
      </c>
      <c r="E21">
        <v>0.20273164795707416</v>
      </c>
      <c r="F21">
        <v>-6.287474592420543E-2</v>
      </c>
      <c r="G21">
        <v>0.29358985703962265</v>
      </c>
      <c r="H21">
        <v>-6.287474592420543E-2</v>
      </c>
      <c r="I21">
        <v>0.29358985703962265</v>
      </c>
    </row>
    <row r="22" spans="1:9" x14ac:dyDescent="0.15">
      <c r="A22" t="s">
        <v>3</v>
      </c>
      <c r="B22">
        <v>-2.6239102547445567E-3</v>
      </c>
      <c r="C22">
        <v>4.8231152950000324E-3</v>
      </c>
      <c r="D22">
        <v>-0.54402810097960541</v>
      </c>
      <c r="E22">
        <v>0.58731950478292672</v>
      </c>
      <c r="F22">
        <v>-1.2162548125900664E-2</v>
      </c>
      <c r="G22">
        <v>6.9147276164115501E-3</v>
      </c>
      <c r="H22">
        <v>-1.2162548125900664E-2</v>
      </c>
      <c r="I22">
        <v>6.9147276164115501E-3</v>
      </c>
    </row>
    <row r="23" spans="1:9" x14ac:dyDescent="0.15">
      <c r="A23" t="s">
        <v>8</v>
      </c>
      <c r="B23">
        <v>3.6502348642611735E-3</v>
      </c>
      <c r="C23">
        <v>2.1821784788323855E-3</v>
      </c>
      <c r="D23">
        <v>1.6727480816391784</v>
      </c>
      <c r="E23">
        <v>9.6692797332795233E-2</v>
      </c>
      <c r="F23">
        <v>-6.6544266088334558E-4</v>
      </c>
      <c r="G23">
        <v>7.9659123894056921E-3</v>
      </c>
      <c r="H23">
        <v>-6.6544266088334558E-4</v>
      </c>
      <c r="I23">
        <v>7.9659123894056921E-3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8314-0574-0C49-9491-A934FF28DB6C}">
  <dimension ref="A1:G143"/>
  <sheetViews>
    <sheetView topLeftCell="A130" workbookViewId="0">
      <selection activeCell="F1" sqref="F1:F143"/>
    </sheetView>
  </sheetViews>
  <sheetFormatPr baseColWidth="10" defaultRowHeight="13" x14ac:dyDescent="0.15"/>
  <sheetData>
    <row r="1" spans="1:7" x14ac:dyDescent="0.15">
      <c r="A1" s="1" t="s">
        <v>0</v>
      </c>
      <c r="B1" s="1" t="s">
        <v>7</v>
      </c>
      <c r="C1" s="1" t="s">
        <v>1</v>
      </c>
      <c r="D1" s="1" t="s">
        <v>2</v>
      </c>
      <c r="E1" s="1" t="s">
        <v>33</v>
      </c>
      <c r="F1" s="1" t="s">
        <v>34</v>
      </c>
      <c r="G1" s="1" t="s">
        <v>6</v>
      </c>
    </row>
    <row r="2" spans="1:7" x14ac:dyDescent="0.15">
      <c r="A2">
        <v>18.7</v>
      </c>
      <c r="B2">
        <v>17.399999999999999</v>
      </c>
      <c r="C2">
        <v>4</v>
      </c>
      <c r="D2">
        <v>48.1</v>
      </c>
      <c r="E2" s="9">
        <v>7.0422861719397432</v>
      </c>
      <c r="F2" s="9">
        <v>6.9939329752231894</v>
      </c>
      <c r="G2">
        <v>-20.842110000000002</v>
      </c>
    </row>
    <row r="3" spans="1:7" x14ac:dyDescent="0.15">
      <c r="A3">
        <v>1.6</v>
      </c>
      <c r="B3">
        <v>2.4</v>
      </c>
      <c r="C3">
        <v>27.3</v>
      </c>
      <c r="D3">
        <v>-85.3</v>
      </c>
      <c r="E3" s="9">
        <v>3.5553480614894135</v>
      </c>
      <c r="F3" s="9">
        <v>7.5616417455887799</v>
      </c>
      <c r="G3">
        <v>-9.1383810000000008</v>
      </c>
    </row>
    <row r="4" spans="1:7" x14ac:dyDescent="0.15">
      <c r="A4">
        <v>4.9000000000000004</v>
      </c>
      <c r="B4">
        <v>4.5999999999999996</v>
      </c>
      <c r="C4">
        <v>36.799999999999997</v>
      </c>
      <c r="D4">
        <v>-44.1</v>
      </c>
      <c r="E4" s="9">
        <v>4.8441870864585912</v>
      </c>
      <c r="F4" s="9">
        <v>6.9196838498474111</v>
      </c>
      <c r="G4">
        <v>86.217950000000002</v>
      </c>
    </row>
    <row r="5" spans="1:7" x14ac:dyDescent="0.15">
      <c r="A5">
        <v>11.1</v>
      </c>
      <c r="B5">
        <v>8.6</v>
      </c>
      <c r="C5">
        <v>46.4</v>
      </c>
      <c r="D5">
        <v>192.4</v>
      </c>
      <c r="E5" s="9">
        <v>5.9053618480545707</v>
      </c>
      <c r="F5" s="9">
        <v>6.3613024775729956</v>
      </c>
      <c r="G5">
        <v>131.83670000000001</v>
      </c>
    </row>
    <row r="6" spans="1:7" x14ac:dyDescent="0.15">
      <c r="A6">
        <v>5.6</v>
      </c>
      <c r="B6">
        <v>4.5</v>
      </c>
      <c r="C6">
        <v>36.200000000000003</v>
      </c>
      <c r="D6">
        <v>-60.4</v>
      </c>
      <c r="E6" s="9">
        <v>5.3659760150218512</v>
      </c>
      <c r="F6" s="9">
        <v>6.3969296552161463</v>
      </c>
      <c r="G6">
        <v>-8.1896550000000001</v>
      </c>
    </row>
    <row r="7" spans="1:7" x14ac:dyDescent="0.15">
      <c r="A7">
        <v>3.5</v>
      </c>
      <c r="B7">
        <v>2.9</v>
      </c>
      <c r="C7">
        <v>18.7</v>
      </c>
      <c r="D7">
        <v>-79.8</v>
      </c>
      <c r="E7" s="9">
        <v>4.7706846244656651</v>
      </c>
      <c r="F7" s="9">
        <v>6.5998704992128365</v>
      </c>
      <c r="G7">
        <v>-26.00733</v>
      </c>
    </row>
    <row r="8" spans="1:7" x14ac:dyDescent="0.15">
      <c r="A8">
        <v>12.3</v>
      </c>
      <c r="B8">
        <v>8.5</v>
      </c>
      <c r="C8">
        <v>34.4</v>
      </c>
      <c r="D8">
        <v>39</v>
      </c>
      <c r="E8" s="9">
        <v>5.1647859739235145</v>
      </c>
      <c r="F8" s="9">
        <v>6.9017372066565743</v>
      </c>
      <c r="G8">
        <v>52.272730000000003</v>
      </c>
    </row>
    <row r="9" spans="1:7" x14ac:dyDescent="0.15">
      <c r="A9">
        <v>7.5</v>
      </c>
      <c r="B9">
        <v>6.3</v>
      </c>
      <c r="C9">
        <v>57.8</v>
      </c>
      <c r="D9">
        <v>-62.8</v>
      </c>
      <c r="E9" s="9">
        <v>7.4336665401661683</v>
      </c>
      <c r="F9" s="9">
        <v>7.1123274447109113</v>
      </c>
      <c r="G9">
        <v>-36.103149999999999</v>
      </c>
    </row>
    <row r="10" spans="1:7" x14ac:dyDescent="0.15">
      <c r="A10">
        <v>15.6</v>
      </c>
      <c r="B10">
        <v>10.5</v>
      </c>
      <c r="C10">
        <v>33.4</v>
      </c>
      <c r="D10">
        <v>-16.2</v>
      </c>
      <c r="E10" s="9">
        <v>5.0562458053483077</v>
      </c>
      <c r="F10" s="9">
        <v>6.816735880594968</v>
      </c>
      <c r="G10">
        <v>3.508772</v>
      </c>
    </row>
    <row r="11" spans="1:7" x14ac:dyDescent="0.15">
      <c r="A11">
        <v>12.5</v>
      </c>
      <c r="B11">
        <v>9.4</v>
      </c>
      <c r="C11">
        <v>33.4</v>
      </c>
      <c r="D11">
        <v>-19.100000000000001</v>
      </c>
      <c r="E11" s="9">
        <v>5.7525726388256331</v>
      </c>
      <c r="F11" s="9">
        <v>6.5971457018866513</v>
      </c>
      <c r="G11">
        <v>28.619530000000001</v>
      </c>
    </row>
    <row r="12" spans="1:7" x14ac:dyDescent="0.15">
      <c r="A12">
        <v>17.399999999999999</v>
      </c>
      <c r="B12">
        <v>16.399999999999999</v>
      </c>
      <c r="C12">
        <v>16.7</v>
      </c>
      <c r="D12">
        <v>12.8</v>
      </c>
      <c r="E12" s="9">
        <v>6.0088131854425946</v>
      </c>
      <c r="F12" s="9">
        <v>7.1284959456800365</v>
      </c>
      <c r="G12">
        <v>-21.62162</v>
      </c>
    </row>
    <row r="13" spans="1:7" x14ac:dyDescent="0.15">
      <c r="A13">
        <v>9.6999999999999993</v>
      </c>
      <c r="B13">
        <v>8.9</v>
      </c>
      <c r="C13">
        <v>18.3</v>
      </c>
      <c r="D13">
        <v>-34.799999999999997</v>
      </c>
      <c r="E13" s="9">
        <v>5.1059454739005803</v>
      </c>
      <c r="F13" s="9">
        <v>6.8297937375124249</v>
      </c>
      <c r="G13">
        <v>6.5743939999999998</v>
      </c>
    </row>
    <row r="14" spans="1:7" x14ac:dyDescent="0.15">
      <c r="A14">
        <v>12.7</v>
      </c>
      <c r="B14">
        <v>11.8</v>
      </c>
      <c r="C14">
        <v>27.6</v>
      </c>
      <c r="D14">
        <v>-8.6</v>
      </c>
      <c r="E14" s="9">
        <v>5.6629604801359461</v>
      </c>
      <c r="F14" s="9">
        <v>6.4002574453088208</v>
      </c>
      <c r="G14">
        <v>100.6061</v>
      </c>
    </row>
    <row r="15" spans="1:7" x14ac:dyDescent="0.15">
      <c r="A15">
        <v>15</v>
      </c>
      <c r="B15">
        <v>12.7</v>
      </c>
      <c r="C15">
        <v>27.3</v>
      </c>
      <c r="D15">
        <v>9.5</v>
      </c>
      <c r="E15" s="9">
        <v>4.990432586778736</v>
      </c>
      <c r="F15" s="9">
        <v>6.9137373506596846</v>
      </c>
      <c r="G15">
        <v>-5.2132699999999996</v>
      </c>
    </row>
    <row r="16" spans="1:7" x14ac:dyDescent="0.15">
      <c r="A16">
        <v>16.7</v>
      </c>
      <c r="B16">
        <v>12.7</v>
      </c>
      <c r="C16">
        <v>35</v>
      </c>
      <c r="D16">
        <v>19.3</v>
      </c>
      <c r="E16" s="9">
        <v>5.1761497325738288</v>
      </c>
      <c r="F16" s="9">
        <v>6.3851943989977258</v>
      </c>
      <c r="G16">
        <v>-27.6</v>
      </c>
    </row>
    <row r="17" spans="1:7" x14ac:dyDescent="0.15">
      <c r="A17">
        <v>57</v>
      </c>
      <c r="B17">
        <v>43.3</v>
      </c>
      <c r="C17">
        <v>12.3</v>
      </c>
      <c r="D17">
        <v>59.5</v>
      </c>
      <c r="E17" s="9">
        <v>7.5202345564746276</v>
      </c>
      <c r="F17" s="9">
        <v>8.0526148188155666</v>
      </c>
      <c r="G17">
        <v>-33.333329999999997</v>
      </c>
    </row>
    <row r="18" spans="1:7" x14ac:dyDescent="0.15">
      <c r="A18">
        <v>25.7</v>
      </c>
      <c r="B18">
        <v>11.9</v>
      </c>
      <c r="C18">
        <v>53.9</v>
      </c>
      <c r="D18">
        <v>12.8</v>
      </c>
      <c r="E18" s="9">
        <v>6.9206715042486833</v>
      </c>
      <c r="F18" s="9">
        <v>7.5459181512093227</v>
      </c>
      <c r="G18">
        <v>-43.359380000000002</v>
      </c>
    </row>
    <row r="19" spans="1:7" x14ac:dyDescent="0.15">
      <c r="A19">
        <v>22.9</v>
      </c>
      <c r="B19">
        <v>12</v>
      </c>
      <c r="C19">
        <v>33.200000000000003</v>
      </c>
      <c r="D19">
        <v>9</v>
      </c>
      <c r="E19" s="9">
        <v>6.7202201551352951</v>
      </c>
      <c r="F19" s="9">
        <v>7.461640392208575</v>
      </c>
      <c r="G19">
        <v>32.142859999999999</v>
      </c>
    </row>
    <row r="20" spans="1:7" x14ac:dyDescent="0.15">
      <c r="A20">
        <v>18.899999999999999</v>
      </c>
      <c r="B20">
        <v>13.5</v>
      </c>
      <c r="C20">
        <v>19.899999999999999</v>
      </c>
      <c r="D20">
        <v>5</v>
      </c>
      <c r="E20" s="9">
        <v>6.1633148040346413</v>
      </c>
      <c r="F20" s="9">
        <v>7.3511582264306936</v>
      </c>
      <c r="G20">
        <v>-6.6037739999999996</v>
      </c>
    </row>
    <row r="21" spans="1:7" x14ac:dyDescent="0.15">
      <c r="A21">
        <v>15.8</v>
      </c>
      <c r="B21">
        <v>10</v>
      </c>
      <c r="C21">
        <v>31.4</v>
      </c>
      <c r="D21">
        <v>2.7</v>
      </c>
      <c r="E21" s="9">
        <v>5.4380793089231956</v>
      </c>
      <c r="F21" s="9">
        <v>6.9985096422506015</v>
      </c>
      <c r="G21">
        <v>-7.03125</v>
      </c>
    </row>
    <row r="22" spans="1:7" x14ac:dyDescent="0.15">
      <c r="A22">
        <v>14.4</v>
      </c>
      <c r="B22">
        <v>12.2</v>
      </c>
      <c r="C22">
        <v>14.5</v>
      </c>
      <c r="D22">
        <v>2.6</v>
      </c>
      <c r="E22" s="9">
        <v>5.8141305318250662</v>
      </c>
      <c r="F22" s="9">
        <v>7.1188262490620779</v>
      </c>
      <c r="G22">
        <v>2.5641029999999998</v>
      </c>
    </row>
    <row r="23" spans="1:7" x14ac:dyDescent="0.15">
      <c r="A23">
        <v>22.3</v>
      </c>
      <c r="B23">
        <v>20.3</v>
      </c>
      <c r="C23">
        <v>0</v>
      </c>
      <c r="D23">
        <v>16</v>
      </c>
      <c r="E23" s="9">
        <v>4.1431347263915326</v>
      </c>
      <c r="F23" s="9">
        <v>6.3438804341263308</v>
      </c>
      <c r="G23">
        <v>3.361345</v>
      </c>
    </row>
    <row r="24" spans="1:7" x14ac:dyDescent="0.15">
      <c r="A24">
        <v>19</v>
      </c>
      <c r="B24">
        <v>14.8</v>
      </c>
      <c r="C24">
        <v>32.9</v>
      </c>
      <c r="D24">
        <v>-42.6</v>
      </c>
      <c r="E24" s="9">
        <v>7.3375877435385961</v>
      </c>
      <c r="F24" s="9">
        <v>6.8351845861473013</v>
      </c>
      <c r="G24">
        <v>-5.7793349999999997</v>
      </c>
    </row>
    <row r="25" spans="1:7" x14ac:dyDescent="0.15">
      <c r="A25">
        <v>25.5</v>
      </c>
      <c r="B25">
        <v>15.5</v>
      </c>
      <c r="C25">
        <v>36.1</v>
      </c>
      <c r="D25">
        <v>9.1</v>
      </c>
      <c r="E25" s="9">
        <v>5.4293456289544411</v>
      </c>
      <c r="F25" s="9">
        <v>6.8458798752640497</v>
      </c>
      <c r="G25">
        <v>-65</v>
      </c>
    </row>
    <row r="26" spans="1:7" x14ac:dyDescent="0.15">
      <c r="A26">
        <v>27.1</v>
      </c>
      <c r="B26">
        <v>23.6</v>
      </c>
      <c r="C26">
        <v>6.6</v>
      </c>
      <c r="D26">
        <v>20.6</v>
      </c>
      <c r="E26" s="9">
        <v>5.1590552992145291</v>
      </c>
      <c r="F26" s="9">
        <v>6.8308742346461795</v>
      </c>
      <c r="G26">
        <v>-9.6666670000000003</v>
      </c>
    </row>
    <row r="27" spans="1:7" x14ac:dyDescent="0.15">
      <c r="A27">
        <v>14.6</v>
      </c>
      <c r="B27">
        <v>10.7</v>
      </c>
      <c r="C27">
        <v>20.399999999999999</v>
      </c>
      <c r="D27">
        <v>-3.4</v>
      </c>
      <c r="E27" s="9">
        <v>5.2522734280466299</v>
      </c>
      <c r="F27" s="9">
        <v>6.6280413761795334</v>
      </c>
      <c r="G27">
        <v>64.388490000000004</v>
      </c>
    </row>
    <row r="28" spans="1:7" x14ac:dyDescent="0.15">
      <c r="A28">
        <v>20.5</v>
      </c>
      <c r="B28">
        <v>12.7</v>
      </c>
      <c r="C28">
        <v>41.8</v>
      </c>
      <c r="D28">
        <v>13.4</v>
      </c>
      <c r="E28" s="9">
        <v>8.3516107506265591</v>
      </c>
      <c r="F28" s="9">
        <v>7.9959804747637602</v>
      </c>
      <c r="G28">
        <v>-20.930230000000002</v>
      </c>
    </row>
    <row r="29" spans="1:7" x14ac:dyDescent="0.15">
      <c r="A29">
        <v>13.7</v>
      </c>
      <c r="B29">
        <v>10.199999999999999</v>
      </c>
      <c r="C29">
        <v>40.200000000000003</v>
      </c>
      <c r="D29">
        <v>43.5</v>
      </c>
      <c r="E29" s="9">
        <v>7.0308574761161209</v>
      </c>
      <c r="F29" s="9">
        <v>8.2521854360033284</v>
      </c>
      <c r="G29">
        <v>50.53078</v>
      </c>
    </row>
    <row r="30" spans="1:7" x14ac:dyDescent="0.15">
      <c r="A30">
        <v>17.8</v>
      </c>
      <c r="B30">
        <v>15.7</v>
      </c>
      <c r="C30">
        <v>10.9</v>
      </c>
      <c r="D30">
        <v>13.9</v>
      </c>
      <c r="E30" s="9">
        <v>4.1896547420264252</v>
      </c>
      <c r="F30" s="9">
        <v>6.1675164908883415</v>
      </c>
      <c r="G30">
        <v>5.1094889999999999</v>
      </c>
    </row>
    <row r="31" spans="1:7" x14ac:dyDescent="0.15">
      <c r="A31">
        <v>10.7</v>
      </c>
      <c r="B31">
        <v>7.5</v>
      </c>
      <c r="C31">
        <v>69.900000000000006</v>
      </c>
      <c r="D31">
        <v>4.3</v>
      </c>
      <c r="E31" s="9">
        <v>5.6419070709381138</v>
      </c>
      <c r="F31" s="9">
        <v>7.8632667240095735</v>
      </c>
      <c r="G31">
        <v>104.5685</v>
      </c>
    </row>
    <row r="32" spans="1:7" x14ac:dyDescent="0.15">
      <c r="A32">
        <v>11.2</v>
      </c>
      <c r="B32">
        <v>6.7</v>
      </c>
      <c r="C32">
        <v>68.099999999999994</v>
      </c>
      <c r="D32">
        <v>-54.4</v>
      </c>
      <c r="E32" s="9">
        <v>5.0172798368149243</v>
      </c>
      <c r="F32" s="9">
        <v>7.0749631979660439</v>
      </c>
      <c r="G32">
        <v>-27.22513</v>
      </c>
    </row>
    <row r="33" spans="1:7" x14ac:dyDescent="0.15">
      <c r="A33">
        <v>18</v>
      </c>
      <c r="B33">
        <v>13</v>
      </c>
      <c r="C33">
        <v>25.7</v>
      </c>
      <c r="D33">
        <v>8.6</v>
      </c>
      <c r="E33" s="9">
        <v>5.43372200355424</v>
      </c>
      <c r="F33" s="9">
        <v>6.8351845861473013</v>
      </c>
      <c r="G33">
        <v>-35.071939999999998</v>
      </c>
    </row>
    <row r="34" spans="1:7" x14ac:dyDescent="0.15">
      <c r="A34">
        <v>34.700000000000003</v>
      </c>
      <c r="B34">
        <v>28.7</v>
      </c>
      <c r="C34">
        <v>4.2</v>
      </c>
      <c r="D34">
        <v>15.7</v>
      </c>
      <c r="E34" s="9">
        <v>6.8448154792082629</v>
      </c>
      <c r="F34" s="9">
        <v>7.0604763659998007</v>
      </c>
      <c r="G34">
        <v>-52.022060000000003</v>
      </c>
    </row>
    <row r="35" spans="1:7" x14ac:dyDescent="0.15">
      <c r="A35">
        <v>11.5</v>
      </c>
      <c r="B35">
        <v>9.4</v>
      </c>
      <c r="C35">
        <v>26.7</v>
      </c>
      <c r="D35">
        <v>28.8</v>
      </c>
      <c r="E35" s="9">
        <v>3.1780538303479458</v>
      </c>
      <c r="F35" s="9">
        <v>5.8777357817796387</v>
      </c>
      <c r="G35">
        <v>-58.974359999999997</v>
      </c>
    </row>
    <row r="36" spans="1:7" x14ac:dyDescent="0.15">
      <c r="A36">
        <v>61.1</v>
      </c>
      <c r="B36">
        <v>33.5</v>
      </c>
      <c r="C36">
        <v>34.1</v>
      </c>
      <c r="D36">
        <v>13.8</v>
      </c>
      <c r="E36" s="9">
        <v>7.0958932210975316</v>
      </c>
      <c r="F36" s="9">
        <v>7.4407337073892608</v>
      </c>
      <c r="G36">
        <v>-41.62791</v>
      </c>
    </row>
    <row r="37" spans="1:7" x14ac:dyDescent="0.15">
      <c r="A37">
        <v>17.5</v>
      </c>
      <c r="B37">
        <v>14.1</v>
      </c>
      <c r="C37">
        <v>18.2</v>
      </c>
      <c r="D37">
        <v>15.7</v>
      </c>
      <c r="E37" s="9">
        <v>4.8441870864585912</v>
      </c>
      <c r="F37" s="9">
        <v>7.1974353540965907</v>
      </c>
      <c r="G37">
        <v>-47.884619999999998</v>
      </c>
    </row>
    <row r="38" spans="1:7" x14ac:dyDescent="0.15">
      <c r="A38">
        <v>11</v>
      </c>
      <c r="B38">
        <v>9.4</v>
      </c>
      <c r="C38">
        <v>10.7</v>
      </c>
      <c r="D38">
        <v>-42.1</v>
      </c>
      <c r="E38" s="9">
        <v>5.3798973535404597</v>
      </c>
      <c r="F38" s="9">
        <v>7.2041492920359396</v>
      </c>
      <c r="G38">
        <v>-20.12987</v>
      </c>
    </row>
    <row r="39" spans="1:7" x14ac:dyDescent="0.15">
      <c r="A39">
        <v>17.8</v>
      </c>
      <c r="B39">
        <v>16.600000000000001</v>
      </c>
      <c r="C39">
        <v>3.8</v>
      </c>
      <c r="D39">
        <v>-1.8</v>
      </c>
      <c r="E39" s="9">
        <v>5.6698809229805196</v>
      </c>
      <c r="F39" s="9">
        <v>6.3595738686723777</v>
      </c>
      <c r="G39">
        <v>63.483150000000002</v>
      </c>
    </row>
    <row r="40" spans="1:7" x14ac:dyDescent="0.15">
      <c r="A40">
        <v>13.7</v>
      </c>
      <c r="B40">
        <v>11.8</v>
      </c>
      <c r="C40">
        <v>15.2</v>
      </c>
      <c r="D40">
        <v>5.8</v>
      </c>
      <c r="E40" s="9">
        <v>6.2576675878826391</v>
      </c>
      <c r="F40" s="9">
        <v>6.837332814685591</v>
      </c>
      <c r="G40">
        <v>-0.64239829999999998</v>
      </c>
    </row>
    <row r="41" spans="1:7" x14ac:dyDescent="0.15">
      <c r="A41">
        <v>14.2</v>
      </c>
      <c r="B41">
        <v>13.9</v>
      </c>
      <c r="C41">
        <v>1.5</v>
      </c>
      <c r="D41">
        <v>14.2</v>
      </c>
      <c r="E41" s="9">
        <v>4.1588830833596715</v>
      </c>
      <c r="F41" s="9">
        <v>6.2499752422594828</v>
      </c>
      <c r="G41">
        <v>-12.10191</v>
      </c>
    </row>
    <row r="42" spans="1:7" x14ac:dyDescent="0.15">
      <c r="A42">
        <v>19.899999999999999</v>
      </c>
      <c r="B42">
        <v>18.7</v>
      </c>
      <c r="C42">
        <v>12.7</v>
      </c>
      <c r="D42">
        <v>4.5999999999999996</v>
      </c>
      <c r="E42" s="9">
        <v>6.4183649359362116</v>
      </c>
      <c r="F42" s="9">
        <v>7.4781696941597851</v>
      </c>
      <c r="G42">
        <v>59.935899999999997</v>
      </c>
    </row>
    <row r="43" spans="1:7" x14ac:dyDescent="0.15">
      <c r="A43">
        <v>14.3</v>
      </c>
      <c r="B43">
        <v>11.8</v>
      </c>
      <c r="C43">
        <v>15.5</v>
      </c>
      <c r="D43">
        <v>4.2</v>
      </c>
      <c r="E43" s="9">
        <v>6.1612073216950769</v>
      </c>
      <c r="F43" s="9">
        <v>7.5714736488512706</v>
      </c>
      <c r="G43">
        <v>-10.81081</v>
      </c>
    </row>
    <row r="44" spans="1:7" x14ac:dyDescent="0.15">
      <c r="A44">
        <v>1.6</v>
      </c>
      <c r="B44">
        <v>2.9</v>
      </c>
      <c r="C44">
        <v>28.9</v>
      </c>
      <c r="D44">
        <v>5</v>
      </c>
      <c r="E44" s="9">
        <v>3.2958368660043291</v>
      </c>
      <c r="F44" s="9">
        <v>7.255591274253665</v>
      </c>
      <c r="G44">
        <v>-24.9467</v>
      </c>
    </row>
    <row r="45" spans="1:7" x14ac:dyDescent="0.15">
      <c r="A45">
        <v>32.9</v>
      </c>
      <c r="B45">
        <v>32.1</v>
      </c>
      <c r="C45">
        <v>0</v>
      </c>
      <c r="D45">
        <v>7.9</v>
      </c>
      <c r="E45" s="9">
        <v>4.7273878187123408</v>
      </c>
      <c r="F45" s="9">
        <v>6.5916737320086582</v>
      </c>
      <c r="G45">
        <v>-7.925408</v>
      </c>
    </row>
    <row r="46" spans="1:7" x14ac:dyDescent="0.15">
      <c r="A46">
        <v>10.9</v>
      </c>
      <c r="B46">
        <v>7.2</v>
      </c>
      <c r="C46">
        <v>22.9</v>
      </c>
      <c r="D46">
        <v>-30.5</v>
      </c>
      <c r="E46" s="9">
        <v>4.990432586778736</v>
      </c>
      <c r="F46" s="9">
        <v>6.9856418176392081</v>
      </c>
      <c r="G46">
        <v>-46.753250000000001</v>
      </c>
    </row>
    <row r="47" spans="1:7" x14ac:dyDescent="0.15">
      <c r="A47">
        <v>19.5</v>
      </c>
      <c r="B47">
        <v>12.5</v>
      </c>
      <c r="C47">
        <v>40.1</v>
      </c>
      <c r="D47">
        <v>20.8</v>
      </c>
      <c r="E47" s="9">
        <v>4.9272536851572051</v>
      </c>
      <c r="F47" s="9">
        <v>7.0237589547384429</v>
      </c>
      <c r="G47">
        <v>-18.7056</v>
      </c>
    </row>
    <row r="48" spans="1:7" x14ac:dyDescent="0.15">
      <c r="A48">
        <v>12.6</v>
      </c>
      <c r="B48">
        <v>8.3000000000000007</v>
      </c>
      <c r="C48">
        <v>33.299999999999997</v>
      </c>
      <c r="D48">
        <v>-5.7</v>
      </c>
      <c r="E48" s="9">
        <v>4.7184988712950942</v>
      </c>
      <c r="F48" s="9">
        <v>6.9546388648809874</v>
      </c>
      <c r="G48">
        <v>-17.575759999999999</v>
      </c>
    </row>
    <row r="49" spans="1:7" x14ac:dyDescent="0.15">
      <c r="A49">
        <v>21.1</v>
      </c>
      <c r="B49">
        <v>19.399999999999999</v>
      </c>
      <c r="C49">
        <v>2.8</v>
      </c>
      <c r="D49">
        <v>11.9</v>
      </c>
      <c r="E49" s="9">
        <v>5.0498560072495371</v>
      </c>
      <c r="F49" s="9">
        <v>6.6502790485874224</v>
      </c>
      <c r="G49">
        <v>43.54166</v>
      </c>
    </row>
    <row r="50" spans="1:7" x14ac:dyDescent="0.15">
      <c r="A50">
        <v>14.7</v>
      </c>
      <c r="B50">
        <v>11.6</v>
      </c>
      <c r="C50">
        <v>26.5</v>
      </c>
      <c r="D50">
        <v>0.8</v>
      </c>
      <c r="E50" s="9">
        <v>4.7361984483944957</v>
      </c>
      <c r="F50" s="9">
        <v>6.6372580312844569</v>
      </c>
      <c r="G50">
        <v>-8.3333329999999997</v>
      </c>
    </row>
    <row r="51" spans="1:7" x14ac:dyDescent="0.15">
      <c r="A51">
        <v>14.6</v>
      </c>
      <c r="B51">
        <v>11.8</v>
      </c>
      <c r="C51">
        <v>13.8</v>
      </c>
      <c r="D51">
        <v>6.6</v>
      </c>
      <c r="E51" s="9">
        <v>5.3181199938442161</v>
      </c>
      <c r="F51" s="9">
        <v>7.0825485693552999</v>
      </c>
      <c r="G51">
        <v>-37.313429999999997</v>
      </c>
    </row>
    <row r="52" spans="1:7" x14ac:dyDescent="0.15">
      <c r="A52">
        <v>23.4</v>
      </c>
      <c r="B52">
        <v>14.5</v>
      </c>
      <c r="C52">
        <v>51.3</v>
      </c>
      <c r="D52">
        <v>-2.5</v>
      </c>
      <c r="E52" s="9">
        <v>5.3375380797013179</v>
      </c>
      <c r="F52" s="9">
        <v>6.5889264775335192</v>
      </c>
      <c r="G52">
        <v>6.9182389999999998</v>
      </c>
    </row>
    <row r="53" spans="1:7" x14ac:dyDescent="0.15">
      <c r="A53">
        <v>4.7</v>
      </c>
      <c r="B53">
        <v>4.7</v>
      </c>
      <c r="C53">
        <v>46.6</v>
      </c>
      <c r="D53">
        <v>-65.099999999999994</v>
      </c>
      <c r="E53" s="9">
        <v>5.7589017738772803</v>
      </c>
      <c r="F53" s="9">
        <v>6.8532990931860782</v>
      </c>
      <c r="G53">
        <v>16.10942</v>
      </c>
    </row>
    <row r="54" spans="1:7" x14ac:dyDescent="0.15">
      <c r="A54">
        <v>37.200000000000003</v>
      </c>
      <c r="B54">
        <v>32.5</v>
      </c>
      <c r="C54">
        <v>17.899999999999999</v>
      </c>
      <c r="D54">
        <v>266.60000000000002</v>
      </c>
      <c r="E54" s="9">
        <v>7.2320103316647586</v>
      </c>
      <c r="F54" s="9">
        <v>8.2071291680713259</v>
      </c>
      <c r="G54">
        <v>9.4059410000000003</v>
      </c>
    </row>
    <row r="55" spans="1:7" x14ac:dyDescent="0.15">
      <c r="A55">
        <v>26.7</v>
      </c>
      <c r="B55">
        <v>20.8</v>
      </c>
      <c r="C55">
        <v>24.5</v>
      </c>
      <c r="D55">
        <v>17.600000000000001</v>
      </c>
      <c r="E55" s="9">
        <v>6.7141705299094721</v>
      </c>
      <c r="F55" s="9">
        <v>9.3359151948842491</v>
      </c>
      <c r="G55">
        <v>-58.928570000000001</v>
      </c>
    </row>
    <row r="56" spans="1:7" x14ac:dyDescent="0.15">
      <c r="A56">
        <v>15.8</v>
      </c>
      <c r="B56">
        <v>12.8</v>
      </c>
      <c r="C56">
        <v>19</v>
      </c>
      <c r="D56">
        <v>-61.6</v>
      </c>
      <c r="E56" s="9">
        <v>5.3518581334760666</v>
      </c>
      <c r="F56" s="9">
        <v>6.9246123960485599</v>
      </c>
      <c r="G56">
        <v>4.6511630000000004</v>
      </c>
    </row>
    <row r="57" spans="1:7" x14ac:dyDescent="0.15">
      <c r="A57">
        <v>15.5</v>
      </c>
      <c r="B57">
        <v>11.4</v>
      </c>
      <c r="C57">
        <v>28.7</v>
      </c>
      <c r="D57">
        <v>-26.3</v>
      </c>
      <c r="E57" s="9">
        <v>6.0282785202306979</v>
      </c>
      <c r="F57" s="9">
        <v>7.2682230211595655</v>
      </c>
      <c r="G57">
        <v>-8.7098259999999996</v>
      </c>
    </row>
    <row r="58" spans="1:7" x14ac:dyDescent="0.15">
      <c r="A58">
        <v>16.2</v>
      </c>
      <c r="B58">
        <v>13</v>
      </c>
      <c r="C58">
        <v>21.7</v>
      </c>
      <c r="D58">
        <v>17.899999999999999</v>
      </c>
      <c r="E58" s="9">
        <v>5.6698809229805196</v>
      </c>
      <c r="F58" s="9">
        <v>6.8221973906204907</v>
      </c>
      <c r="G58">
        <v>-30.523260000000001</v>
      </c>
    </row>
    <row r="59" spans="1:7" x14ac:dyDescent="0.15">
      <c r="A59">
        <v>19</v>
      </c>
      <c r="B59">
        <v>14.5</v>
      </c>
      <c r="C59">
        <v>18</v>
      </c>
      <c r="D59">
        <v>6.7</v>
      </c>
      <c r="E59" s="9">
        <v>4.3307333402863311</v>
      </c>
      <c r="F59" s="9">
        <v>6.6592939196836376</v>
      </c>
      <c r="G59">
        <v>-36.571429999999999</v>
      </c>
    </row>
    <row r="60" spans="1:7" x14ac:dyDescent="0.15">
      <c r="A60">
        <v>20.3</v>
      </c>
      <c r="B60">
        <v>15.4</v>
      </c>
      <c r="C60">
        <v>29.3</v>
      </c>
      <c r="D60">
        <v>11.9</v>
      </c>
      <c r="E60" s="9">
        <v>5.181783550292085</v>
      </c>
      <c r="F60" s="9">
        <v>6.7357800142423265</v>
      </c>
      <c r="G60">
        <v>-2.506964</v>
      </c>
    </row>
    <row r="61" spans="1:7" x14ac:dyDescent="0.15">
      <c r="A61">
        <v>22.1</v>
      </c>
      <c r="B61">
        <v>20.2</v>
      </c>
      <c r="C61">
        <v>3.6</v>
      </c>
      <c r="D61">
        <v>6.9</v>
      </c>
      <c r="E61" s="9">
        <v>7.1739583197567942</v>
      </c>
      <c r="F61" s="9">
        <v>7.1507014575925263</v>
      </c>
      <c r="G61">
        <v>-33.009099999999997</v>
      </c>
    </row>
    <row r="62" spans="1:7" x14ac:dyDescent="0.15">
      <c r="A62">
        <v>22.6</v>
      </c>
      <c r="B62">
        <v>19.5</v>
      </c>
      <c r="C62">
        <v>15.4</v>
      </c>
      <c r="D62">
        <v>29.8</v>
      </c>
      <c r="E62" s="9">
        <v>4.6347289882296359</v>
      </c>
      <c r="F62" s="9">
        <v>6.9697906699015899</v>
      </c>
      <c r="G62">
        <v>-5.084746</v>
      </c>
    </row>
    <row r="63" spans="1:7" x14ac:dyDescent="0.15">
      <c r="A63">
        <v>21.8</v>
      </c>
      <c r="B63">
        <v>19.399999999999999</v>
      </c>
      <c r="C63">
        <v>5.5</v>
      </c>
      <c r="D63">
        <v>17.2</v>
      </c>
      <c r="E63" s="9">
        <v>4.8675344504555822</v>
      </c>
      <c r="F63" s="9">
        <v>6.5861716548546747</v>
      </c>
      <c r="G63">
        <v>-21.768709999999999</v>
      </c>
    </row>
    <row r="64" spans="1:7" x14ac:dyDescent="0.15">
      <c r="A64">
        <v>23.4</v>
      </c>
      <c r="B64">
        <v>12.7</v>
      </c>
      <c r="C64">
        <v>35.5</v>
      </c>
      <c r="D64">
        <v>-17.5</v>
      </c>
      <c r="E64" s="9">
        <v>7.3297496890415124</v>
      </c>
      <c r="F64" s="9">
        <v>7.7240046566760654</v>
      </c>
      <c r="G64">
        <v>-8.6419750000000004</v>
      </c>
    </row>
    <row r="65" spans="1:7" x14ac:dyDescent="0.15">
      <c r="A65">
        <v>4.0999999999999996</v>
      </c>
      <c r="B65">
        <v>4.0999999999999996</v>
      </c>
      <c r="C65">
        <v>23.8</v>
      </c>
      <c r="D65">
        <v>-49.9</v>
      </c>
      <c r="E65" s="9">
        <v>7.2071188562077557</v>
      </c>
      <c r="F65" s="9">
        <v>7.2145044141511434</v>
      </c>
      <c r="G65">
        <v>-34.059040000000003</v>
      </c>
    </row>
    <row r="66" spans="1:7" x14ac:dyDescent="0.15">
      <c r="A66">
        <v>12.6</v>
      </c>
      <c r="B66">
        <v>8.5</v>
      </c>
      <c r="C66">
        <v>13.5</v>
      </c>
      <c r="D66">
        <v>3</v>
      </c>
      <c r="E66" s="9">
        <v>8.2789360022919798</v>
      </c>
      <c r="F66" s="9">
        <v>7.3460102099132927</v>
      </c>
      <c r="G66">
        <v>21.5</v>
      </c>
    </row>
    <row r="67" spans="1:7" x14ac:dyDescent="0.15">
      <c r="A67">
        <v>10.1</v>
      </c>
      <c r="B67">
        <v>7.9</v>
      </c>
      <c r="C67">
        <v>16.3</v>
      </c>
      <c r="D67">
        <v>-7.7</v>
      </c>
      <c r="E67" s="9">
        <v>7.4524024512236382</v>
      </c>
      <c r="F67" s="9">
        <v>7.534762657037537</v>
      </c>
      <c r="G67">
        <v>34.423609999999996</v>
      </c>
    </row>
    <row r="68" spans="1:7" x14ac:dyDescent="0.15">
      <c r="A68">
        <v>1.1000000000000001</v>
      </c>
      <c r="B68">
        <v>1.4</v>
      </c>
      <c r="C68">
        <v>22.3</v>
      </c>
      <c r="D68">
        <v>-89.3</v>
      </c>
      <c r="E68" s="9">
        <v>2.0794415416798357</v>
      </c>
      <c r="F68" s="9">
        <v>6.1903154058531475</v>
      </c>
      <c r="G68">
        <v>-29.663609999999998</v>
      </c>
    </row>
    <row r="69" spans="1:7" x14ac:dyDescent="0.15">
      <c r="A69">
        <v>14.4</v>
      </c>
      <c r="B69">
        <v>10.8</v>
      </c>
      <c r="C69">
        <v>25.6</v>
      </c>
      <c r="D69">
        <v>-49.9</v>
      </c>
      <c r="E69" s="9">
        <v>7.2071188562077557</v>
      </c>
      <c r="F69" s="9">
        <v>7.5694117924507118</v>
      </c>
      <c r="G69">
        <v>1.6985140000000001</v>
      </c>
    </row>
    <row r="70" spans="1:7" x14ac:dyDescent="0.15">
      <c r="A70">
        <v>14.6</v>
      </c>
      <c r="B70">
        <v>7.9</v>
      </c>
      <c r="C70">
        <v>51.3</v>
      </c>
      <c r="D70">
        <v>-21.1</v>
      </c>
      <c r="E70" s="9">
        <v>5.8200829303523616</v>
      </c>
      <c r="F70" s="9">
        <v>7.0783415795576712</v>
      </c>
      <c r="G70">
        <v>-8.4033610000000003</v>
      </c>
    </row>
    <row r="71" spans="1:7" x14ac:dyDescent="0.15">
      <c r="A71">
        <v>12.4</v>
      </c>
      <c r="B71">
        <v>6.9</v>
      </c>
      <c r="C71">
        <v>44.9</v>
      </c>
      <c r="D71">
        <v>27.4</v>
      </c>
      <c r="E71" s="9">
        <v>5.5174528964647074</v>
      </c>
      <c r="F71" s="9">
        <v>7.1701195434496281</v>
      </c>
      <c r="G71">
        <v>-15.13158</v>
      </c>
    </row>
    <row r="72" spans="1:7" x14ac:dyDescent="0.15">
      <c r="A72">
        <v>11.3</v>
      </c>
      <c r="B72">
        <v>8.1999999999999993</v>
      </c>
      <c r="C72">
        <v>44.3</v>
      </c>
      <c r="D72">
        <v>18.100000000000001</v>
      </c>
      <c r="E72" s="9">
        <v>6.2915691395583204</v>
      </c>
      <c r="F72" s="9">
        <v>7.1989312406881734</v>
      </c>
      <c r="G72">
        <v>-9.6</v>
      </c>
    </row>
    <row r="73" spans="1:7" x14ac:dyDescent="0.15">
      <c r="A73">
        <v>10.9</v>
      </c>
      <c r="B73">
        <v>9.5</v>
      </c>
      <c r="C73">
        <v>26.3</v>
      </c>
      <c r="D73">
        <v>-31.2</v>
      </c>
      <c r="E73" s="9">
        <v>4.7449321283632502</v>
      </c>
      <c r="F73" s="9">
        <v>8.3442673562626446</v>
      </c>
      <c r="G73">
        <v>14.95327</v>
      </c>
    </row>
    <row r="74" spans="1:7" x14ac:dyDescent="0.15">
      <c r="A74">
        <v>25.4</v>
      </c>
      <c r="B74">
        <v>25.1</v>
      </c>
      <c r="C74">
        <v>1</v>
      </c>
      <c r="D74">
        <v>19.899999999999999</v>
      </c>
      <c r="E74" s="9">
        <v>4.8040210447332568</v>
      </c>
      <c r="F74" s="9">
        <v>6.7238324408212087</v>
      </c>
      <c r="G74">
        <v>3.125</v>
      </c>
    </row>
    <row r="75" spans="1:7" x14ac:dyDescent="0.15">
      <c r="A75">
        <v>16.8</v>
      </c>
      <c r="B75">
        <v>14.3</v>
      </c>
      <c r="C75">
        <v>17.8</v>
      </c>
      <c r="D75">
        <v>16.7</v>
      </c>
      <c r="E75" s="9">
        <v>6.1612073216950769</v>
      </c>
      <c r="F75" s="9">
        <v>7.0449051171293711</v>
      </c>
      <c r="G75">
        <v>-18.76641</v>
      </c>
    </row>
    <row r="76" spans="1:7" x14ac:dyDescent="0.15">
      <c r="A76">
        <v>7.2</v>
      </c>
      <c r="B76">
        <v>7</v>
      </c>
      <c r="C76">
        <v>12</v>
      </c>
      <c r="D76">
        <v>-16.399999999999999</v>
      </c>
      <c r="E76" s="9">
        <v>5.978885764901122</v>
      </c>
      <c r="F76" s="9">
        <v>7.15305163493748</v>
      </c>
      <c r="G76">
        <v>6.9327730000000001</v>
      </c>
    </row>
    <row r="77" spans="1:7" x14ac:dyDescent="0.15">
      <c r="A77">
        <v>18.5</v>
      </c>
      <c r="B77">
        <v>13.8</v>
      </c>
      <c r="C77">
        <v>23.7</v>
      </c>
      <c r="D77">
        <v>-8.9</v>
      </c>
      <c r="E77" s="9">
        <v>6.7787848976851768</v>
      </c>
      <c r="F77" s="9">
        <v>7.1300985101255776</v>
      </c>
      <c r="G77">
        <v>-30.080480000000001</v>
      </c>
    </row>
    <row r="78" spans="1:7" x14ac:dyDescent="0.15">
      <c r="A78">
        <v>19.100000000000001</v>
      </c>
      <c r="B78">
        <v>14.8</v>
      </c>
      <c r="C78">
        <v>35.1</v>
      </c>
      <c r="D78">
        <v>-10.9</v>
      </c>
      <c r="E78" s="9">
        <v>5.8888779583328805</v>
      </c>
      <c r="F78" s="9">
        <v>7.6713609231906439</v>
      </c>
      <c r="G78">
        <v>-8.7040620000000004</v>
      </c>
    </row>
    <row r="79" spans="1:7" x14ac:dyDescent="0.15">
      <c r="A79">
        <v>14.3</v>
      </c>
      <c r="B79">
        <v>11.6</v>
      </c>
      <c r="C79">
        <v>14.6</v>
      </c>
      <c r="D79">
        <v>-11.2</v>
      </c>
      <c r="E79" s="9">
        <v>5.579729825986222</v>
      </c>
      <c r="F79" s="9">
        <v>6.3526293963195668</v>
      </c>
      <c r="G79">
        <v>34.627830000000003</v>
      </c>
    </row>
    <row r="80" spans="1:7" x14ac:dyDescent="0.15">
      <c r="A80">
        <v>28.8</v>
      </c>
      <c r="B80">
        <v>18.399999999999999</v>
      </c>
      <c r="C80">
        <v>33.700000000000003</v>
      </c>
      <c r="D80">
        <v>19.3</v>
      </c>
      <c r="E80" s="9">
        <v>5.4510384535657002</v>
      </c>
      <c r="F80" s="9">
        <v>7.5032896306750816</v>
      </c>
      <c r="G80">
        <v>-37.443950000000001</v>
      </c>
    </row>
    <row r="81" spans="1:7" x14ac:dyDescent="0.15">
      <c r="A81">
        <v>32</v>
      </c>
      <c r="B81">
        <v>25.7</v>
      </c>
      <c r="C81">
        <v>0</v>
      </c>
      <c r="D81">
        <v>6.8</v>
      </c>
      <c r="E81" s="9">
        <v>6.1633148040346413</v>
      </c>
      <c r="F81" s="9">
        <v>7.6930257484178881</v>
      </c>
      <c r="G81">
        <v>10.638299999999999</v>
      </c>
    </row>
    <row r="82" spans="1:7" x14ac:dyDescent="0.15">
      <c r="A82">
        <v>20.8</v>
      </c>
      <c r="B82">
        <v>17.899999999999999</v>
      </c>
      <c r="C82">
        <v>6.5</v>
      </c>
      <c r="D82">
        <v>13.9</v>
      </c>
      <c r="E82" s="9">
        <v>5.3752784076841653</v>
      </c>
      <c r="F82" s="9">
        <v>6.6567265241783913</v>
      </c>
      <c r="G82">
        <v>19.38775</v>
      </c>
    </row>
    <row r="83" spans="1:7" x14ac:dyDescent="0.15">
      <c r="A83">
        <v>30.5</v>
      </c>
      <c r="B83">
        <v>26.5</v>
      </c>
      <c r="C83">
        <v>4</v>
      </c>
      <c r="D83">
        <v>11.1</v>
      </c>
      <c r="E83" s="9">
        <v>5.9889614168898637</v>
      </c>
      <c r="F83" s="9">
        <v>7.754481547470383</v>
      </c>
      <c r="G83">
        <v>-50.314459999999997</v>
      </c>
    </row>
    <row r="84" spans="1:7" x14ac:dyDescent="0.15">
      <c r="A84">
        <v>13.4</v>
      </c>
      <c r="B84">
        <v>12.3</v>
      </c>
      <c r="C84">
        <v>2.1</v>
      </c>
      <c r="D84">
        <v>-13.1</v>
      </c>
      <c r="E84" s="9">
        <v>6.6052979209482015</v>
      </c>
      <c r="F84" s="9">
        <v>7.2196420401307355</v>
      </c>
      <c r="G84">
        <v>111.37569999999999</v>
      </c>
    </row>
    <row r="85" spans="1:7" x14ac:dyDescent="0.15">
      <c r="A85">
        <v>10.8</v>
      </c>
      <c r="B85">
        <v>8.5</v>
      </c>
      <c r="C85">
        <v>20.100000000000001</v>
      </c>
      <c r="D85">
        <v>-22.9</v>
      </c>
      <c r="E85" s="9">
        <v>8.3308636132247447</v>
      </c>
      <c r="F85" s="9">
        <v>7.6063873897726522</v>
      </c>
      <c r="G85">
        <v>-21.91235</v>
      </c>
    </row>
    <row r="86" spans="1:7" x14ac:dyDescent="0.15">
      <c r="A86">
        <v>39.5</v>
      </c>
      <c r="B86">
        <v>42.9</v>
      </c>
      <c r="C86">
        <v>0</v>
      </c>
      <c r="D86">
        <v>60.9</v>
      </c>
      <c r="E86" s="9">
        <v>5.7589017738772803</v>
      </c>
      <c r="F86" s="9">
        <v>7.0578979374118562</v>
      </c>
      <c r="G86">
        <v>-29.741379999999999</v>
      </c>
    </row>
    <row r="87" spans="1:7" x14ac:dyDescent="0.15">
      <c r="A87">
        <v>31.2</v>
      </c>
      <c r="B87">
        <v>27</v>
      </c>
      <c r="C87">
        <v>14.9</v>
      </c>
      <c r="D87">
        <v>81.3</v>
      </c>
      <c r="E87" s="9">
        <v>4.3307333402863311</v>
      </c>
      <c r="F87" s="9">
        <v>5.5872486584002496</v>
      </c>
      <c r="G87">
        <v>-44.75806</v>
      </c>
    </row>
    <row r="88" spans="1:7" x14ac:dyDescent="0.15">
      <c r="A88">
        <v>2.2000000000000002</v>
      </c>
      <c r="B88">
        <v>5.3</v>
      </c>
      <c r="C88">
        <v>45.9</v>
      </c>
      <c r="D88">
        <v>-62.4</v>
      </c>
      <c r="E88" s="9">
        <v>5.393627546352362</v>
      </c>
      <c r="F88" s="9">
        <v>7.0817085861055746</v>
      </c>
      <c r="G88">
        <v>72.92577</v>
      </c>
    </row>
    <row r="89" spans="1:7" x14ac:dyDescent="0.15">
      <c r="A89">
        <v>8.8000000000000007</v>
      </c>
      <c r="B89">
        <v>8.1999999999999993</v>
      </c>
      <c r="C89">
        <v>8.1</v>
      </c>
      <c r="D89">
        <v>90.2</v>
      </c>
      <c r="E89" s="9">
        <v>5.2257466737132017</v>
      </c>
      <c r="F89" s="9">
        <v>7.0039741367226798</v>
      </c>
      <c r="G89">
        <v>-22.514620000000001</v>
      </c>
    </row>
    <row r="90" spans="1:7" x14ac:dyDescent="0.15">
      <c r="A90">
        <v>17.899999999999999</v>
      </c>
      <c r="B90">
        <v>17</v>
      </c>
      <c r="C90">
        <v>9.1</v>
      </c>
      <c r="D90">
        <v>23.9</v>
      </c>
      <c r="E90" s="9">
        <v>6.2480428745084291</v>
      </c>
      <c r="F90" s="9">
        <v>7.3092123656927628</v>
      </c>
      <c r="G90">
        <v>2.5445289999999998</v>
      </c>
    </row>
    <row r="91" spans="1:7" x14ac:dyDescent="0.15">
      <c r="A91">
        <v>17.2</v>
      </c>
      <c r="B91">
        <v>11.6</v>
      </c>
      <c r="C91">
        <v>61.9</v>
      </c>
      <c r="D91">
        <v>-22.4</v>
      </c>
      <c r="E91" s="9">
        <v>6.131226489483141</v>
      </c>
      <c r="F91" s="9">
        <v>7.3132203870903014</v>
      </c>
      <c r="G91">
        <v>47.42268</v>
      </c>
    </row>
    <row r="92" spans="1:7" x14ac:dyDescent="0.15">
      <c r="A92">
        <v>14.4</v>
      </c>
      <c r="B92">
        <v>9.8000000000000007</v>
      </c>
      <c r="C92">
        <v>27.4</v>
      </c>
      <c r="D92">
        <v>-11.7</v>
      </c>
      <c r="E92" s="9">
        <v>6.6106960447177592</v>
      </c>
      <c r="F92" s="9">
        <v>7.2751723194527713</v>
      </c>
      <c r="G92">
        <v>33.407080000000001</v>
      </c>
    </row>
    <row r="93" spans="1:7" x14ac:dyDescent="0.15">
      <c r="A93">
        <v>9.3000000000000007</v>
      </c>
      <c r="B93">
        <v>6.9</v>
      </c>
      <c r="C93">
        <v>36.1</v>
      </c>
      <c r="D93">
        <v>-29.3</v>
      </c>
      <c r="E93" s="9">
        <v>5.0562458053483077</v>
      </c>
      <c r="F93" s="9">
        <v>6.3080984415095305</v>
      </c>
      <c r="G93">
        <v>32.312919999999998</v>
      </c>
    </row>
    <row r="94" spans="1:7" x14ac:dyDescent="0.15">
      <c r="A94">
        <v>4.8</v>
      </c>
      <c r="B94">
        <v>4.4000000000000004</v>
      </c>
      <c r="C94">
        <v>50.6</v>
      </c>
      <c r="D94">
        <v>-68.7</v>
      </c>
      <c r="E94" s="9">
        <v>5.3278761687895813</v>
      </c>
      <c r="F94" s="9">
        <v>6.4723462945009009</v>
      </c>
      <c r="G94">
        <v>35.746600000000001</v>
      </c>
    </row>
    <row r="95" spans="1:7" x14ac:dyDescent="0.15">
      <c r="A95">
        <v>18.7</v>
      </c>
      <c r="B95">
        <v>12.9</v>
      </c>
      <c r="C95">
        <v>32.700000000000003</v>
      </c>
      <c r="D95">
        <v>-5.8</v>
      </c>
      <c r="E95" s="9">
        <v>5.1298987149230735</v>
      </c>
      <c r="F95" s="9">
        <v>6.313548046277095</v>
      </c>
      <c r="G95">
        <v>-13.63636</v>
      </c>
    </row>
    <row r="96" spans="1:7" x14ac:dyDescent="0.15">
      <c r="A96">
        <v>18.5</v>
      </c>
      <c r="B96">
        <v>16.7</v>
      </c>
      <c r="C96">
        <v>18.3</v>
      </c>
      <c r="D96">
        <v>17.399999999999999</v>
      </c>
      <c r="E96" s="9">
        <v>4.990432586778736</v>
      </c>
      <c r="F96" s="9">
        <v>6.692083742506628</v>
      </c>
      <c r="G96">
        <v>40.178570000000001</v>
      </c>
    </row>
    <row r="97" spans="1:7" x14ac:dyDescent="0.15">
      <c r="A97">
        <v>47.6</v>
      </c>
      <c r="B97">
        <v>22.9</v>
      </c>
      <c r="C97">
        <v>50.9</v>
      </c>
      <c r="D97">
        <v>10.6</v>
      </c>
      <c r="E97" s="9">
        <v>5.8318824772835169</v>
      </c>
      <c r="F97" s="9">
        <v>6.6631326959908028</v>
      </c>
      <c r="G97">
        <v>52.417299999999997</v>
      </c>
    </row>
    <row r="98" spans="1:7" x14ac:dyDescent="0.15">
      <c r="A98">
        <v>20.2</v>
      </c>
      <c r="B98">
        <v>15.1</v>
      </c>
      <c r="C98">
        <v>20.2</v>
      </c>
      <c r="D98">
        <v>12.6</v>
      </c>
      <c r="E98" s="9">
        <v>7.3733743099100488</v>
      </c>
      <c r="F98" s="9">
        <v>7.2717037068873678</v>
      </c>
      <c r="G98">
        <v>-11.74377</v>
      </c>
    </row>
    <row r="99" spans="1:7" x14ac:dyDescent="0.15">
      <c r="A99">
        <v>8.4</v>
      </c>
      <c r="B99">
        <v>6.9</v>
      </c>
      <c r="C99">
        <v>0</v>
      </c>
      <c r="D99">
        <v>-68</v>
      </c>
      <c r="E99" s="9">
        <v>3.044522437723423</v>
      </c>
      <c r="F99" s="9">
        <v>6.6066501861982152</v>
      </c>
      <c r="G99">
        <v>-44.821429999999999</v>
      </c>
    </row>
    <row r="100" spans="1:7" x14ac:dyDescent="0.15">
      <c r="A100">
        <v>15.3</v>
      </c>
      <c r="B100">
        <v>11.8</v>
      </c>
      <c r="C100">
        <v>30.6</v>
      </c>
      <c r="D100">
        <v>15.6</v>
      </c>
      <c r="E100" s="9">
        <v>6.2186001196917289</v>
      </c>
      <c r="F100" s="9">
        <v>6.9402224691196386</v>
      </c>
      <c r="G100">
        <v>-84.888099999999994</v>
      </c>
    </row>
    <row r="101" spans="1:7" x14ac:dyDescent="0.15">
      <c r="A101">
        <v>12</v>
      </c>
      <c r="B101">
        <v>10.3</v>
      </c>
      <c r="C101">
        <v>21.1</v>
      </c>
      <c r="D101">
        <v>16.2</v>
      </c>
      <c r="E101" s="9">
        <v>5.7899601708972535</v>
      </c>
      <c r="F101" s="9">
        <v>7.2122944685003407</v>
      </c>
      <c r="G101">
        <v>-70.295699999999997</v>
      </c>
    </row>
    <row r="102" spans="1:7" x14ac:dyDescent="0.15">
      <c r="A102">
        <v>8.8000000000000007</v>
      </c>
      <c r="B102">
        <v>6</v>
      </c>
      <c r="C102">
        <v>29.8</v>
      </c>
      <c r="D102">
        <v>-61.3</v>
      </c>
      <c r="E102" s="9">
        <v>4.8121843553724171</v>
      </c>
      <c r="F102" s="9">
        <v>6.2859980945088649</v>
      </c>
      <c r="G102">
        <v>-6.7669170000000003</v>
      </c>
    </row>
    <row r="103" spans="1:7" x14ac:dyDescent="0.15">
      <c r="A103">
        <v>19.399999999999999</v>
      </c>
      <c r="B103">
        <v>14</v>
      </c>
      <c r="C103">
        <v>27.4</v>
      </c>
      <c r="D103">
        <v>-0.4</v>
      </c>
      <c r="E103" s="9">
        <v>5.9584246930297819</v>
      </c>
      <c r="F103" s="9">
        <v>7.1701195434496281</v>
      </c>
      <c r="G103">
        <v>22.413789999999999</v>
      </c>
    </row>
    <row r="104" spans="1:7" x14ac:dyDescent="0.15">
      <c r="A104">
        <v>2.6</v>
      </c>
      <c r="B104">
        <v>3.1</v>
      </c>
      <c r="C104">
        <v>35.4</v>
      </c>
      <c r="D104">
        <v>-88.2</v>
      </c>
      <c r="E104" s="9">
        <v>3.1354942159291497</v>
      </c>
      <c r="F104" s="9">
        <v>6.9373140812236818</v>
      </c>
      <c r="G104">
        <v>17.84141</v>
      </c>
    </row>
    <row r="105" spans="1:7" x14ac:dyDescent="0.15">
      <c r="A105">
        <v>35.9</v>
      </c>
      <c r="B105">
        <v>33.5</v>
      </c>
      <c r="C105">
        <v>1.8</v>
      </c>
      <c r="D105">
        <v>20.2</v>
      </c>
      <c r="E105" s="9">
        <v>5.2203558250783244</v>
      </c>
      <c r="F105" s="9">
        <v>7.0800264999225906</v>
      </c>
      <c r="G105">
        <v>22.049689999999998</v>
      </c>
    </row>
    <row r="106" spans="1:7" x14ac:dyDescent="0.15">
      <c r="A106">
        <v>19.8</v>
      </c>
      <c r="B106">
        <v>16.7</v>
      </c>
      <c r="C106">
        <v>11.9</v>
      </c>
      <c r="D106">
        <v>4.5</v>
      </c>
      <c r="E106" s="9">
        <v>5.2149357576089859</v>
      </c>
      <c r="F106" s="9">
        <v>6.0497334552319577</v>
      </c>
      <c r="G106">
        <v>6.4763989999999998</v>
      </c>
    </row>
    <row r="107" spans="1:7" x14ac:dyDescent="0.15">
      <c r="A107">
        <v>24.1</v>
      </c>
      <c r="B107">
        <v>9.1999999999999993</v>
      </c>
      <c r="C107">
        <v>46.3</v>
      </c>
      <c r="D107">
        <v>88.5</v>
      </c>
      <c r="E107" s="9">
        <v>5.579729825986222</v>
      </c>
      <c r="F107" s="9">
        <v>7.1569563646156364</v>
      </c>
      <c r="G107">
        <v>52.77778</v>
      </c>
    </row>
    <row r="108" spans="1:7" x14ac:dyDescent="0.15">
      <c r="A108">
        <v>3.7</v>
      </c>
      <c r="B108">
        <v>3</v>
      </c>
      <c r="C108">
        <v>32.200000000000003</v>
      </c>
      <c r="D108">
        <v>-50.1</v>
      </c>
      <c r="E108" s="9">
        <v>4.499809670330265</v>
      </c>
      <c r="F108" s="9">
        <v>6.6833609457662746</v>
      </c>
      <c r="G108">
        <v>5.4830290000000002</v>
      </c>
    </row>
    <row r="109" spans="1:7" x14ac:dyDescent="0.15">
      <c r="A109">
        <v>23.8</v>
      </c>
      <c r="B109">
        <v>19.600000000000001</v>
      </c>
      <c r="C109">
        <v>13.9</v>
      </c>
      <c r="D109">
        <v>17.399999999999999</v>
      </c>
      <c r="E109" s="9">
        <v>5.393627546352362</v>
      </c>
      <c r="F109" s="9">
        <v>6.5424719605068047</v>
      </c>
      <c r="G109">
        <v>-47.747750000000003</v>
      </c>
    </row>
    <row r="110" spans="1:7" x14ac:dyDescent="0.15">
      <c r="A110">
        <v>19.100000000000001</v>
      </c>
      <c r="B110">
        <v>18.100000000000001</v>
      </c>
      <c r="C110">
        <v>8.9</v>
      </c>
      <c r="D110">
        <v>10.3</v>
      </c>
      <c r="E110" s="9">
        <v>5.0238805208462765</v>
      </c>
      <c r="F110" s="9">
        <v>6.3935907539506314</v>
      </c>
      <c r="G110">
        <v>-20.961539999999999</v>
      </c>
    </row>
    <row r="111" spans="1:7" x14ac:dyDescent="0.15">
      <c r="A111">
        <v>27.5</v>
      </c>
      <c r="B111">
        <v>20</v>
      </c>
      <c r="C111">
        <v>44.8</v>
      </c>
      <c r="D111">
        <v>45.4</v>
      </c>
      <c r="E111" s="9">
        <v>5.0238805208462765</v>
      </c>
      <c r="F111" s="9">
        <v>7.3696007205264094</v>
      </c>
      <c r="G111">
        <v>25.597270000000002</v>
      </c>
    </row>
    <row r="112" spans="1:7" x14ac:dyDescent="0.15">
      <c r="A112">
        <v>30.3</v>
      </c>
      <c r="B112">
        <v>21.7</v>
      </c>
      <c r="C112">
        <v>32.200000000000003</v>
      </c>
      <c r="D112">
        <v>20.100000000000001</v>
      </c>
      <c r="E112" s="9">
        <v>5.9375362050824263</v>
      </c>
      <c r="F112" s="9">
        <v>7.5153445711804361</v>
      </c>
      <c r="G112">
        <v>-48.028680000000001</v>
      </c>
    </row>
    <row r="113" spans="1:7" x14ac:dyDescent="0.15">
      <c r="A113">
        <v>19.5</v>
      </c>
      <c r="B113">
        <v>19.2</v>
      </c>
      <c r="C113">
        <v>2.1</v>
      </c>
      <c r="D113">
        <v>6.7</v>
      </c>
      <c r="E113" s="9">
        <v>5.9610053396232736</v>
      </c>
      <c r="F113" s="9">
        <v>7.1000271666292596</v>
      </c>
      <c r="G113">
        <v>-30.81232</v>
      </c>
    </row>
    <row r="114" spans="1:7" x14ac:dyDescent="0.15">
      <c r="A114">
        <v>13.8</v>
      </c>
      <c r="B114">
        <v>10.4</v>
      </c>
      <c r="C114">
        <v>34.9</v>
      </c>
      <c r="D114">
        <v>-22.5</v>
      </c>
      <c r="E114" s="9">
        <v>4.6151205168412597</v>
      </c>
      <c r="F114" s="9">
        <v>5.7037824746562009</v>
      </c>
      <c r="G114">
        <v>12.75168</v>
      </c>
    </row>
    <row r="115" spans="1:7" x14ac:dyDescent="0.15">
      <c r="A115">
        <v>15.6</v>
      </c>
      <c r="B115">
        <v>10.4</v>
      </c>
      <c r="C115">
        <v>28.8</v>
      </c>
      <c r="D115">
        <v>-11.7</v>
      </c>
      <c r="E115" s="9">
        <v>6.6039438246004725</v>
      </c>
      <c r="F115" s="9">
        <v>6.9047507699618382</v>
      </c>
      <c r="G115">
        <v>-38.659790000000001</v>
      </c>
    </row>
    <row r="116" spans="1:7" x14ac:dyDescent="0.15">
      <c r="A116">
        <v>21.2</v>
      </c>
      <c r="B116">
        <v>16.899999999999999</v>
      </c>
      <c r="C116">
        <v>12.2</v>
      </c>
      <c r="D116">
        <v>13.2</v>
      </c>
      <c r="E116" s="9">
        <v>5.1647859739235145</v>
      </c>
      <c r="F116" s="9">
        <v>6.8211074722564646</v>
      </c>
      <c r="G116">
        <v>-6.6844919999999997</v>
      </c>
    </row>
    <row r="117" spans="1:7" x14ac:dyDescent="0.15">
      <c r="A117">
        <v>15.6</v>
      </c>
      <c r="B117">
        <v>12.1</v>
      </c>
      <c r="C117">
        <v>25</v>
      </c>
      <c r="D117">
        <v>3.2</v>
      </c>
      <c r="E117" s="9">
        <v>5.4205349992722862</v>
      </c>
      <c r="F117" s="9">
        <v>6.642486801367256</v>
      </c>
      <c r="G117">
        <v>-42.439030000000002</v>
      </c>
    </row>
    <row r="118" spans="1:7" x14ac:dyDescent="0.15">
      <c r="A118">
        <v>8.1</v>
      </c>
      <c r="B118">
        <v>5.7</v>
      </c>
      <c r="C118">
        <v>46.2</v>
      </c>
      <c r="D118">
        <v>-15.1</v>
      </c>
      <c r="E118" s="9">
        <v>4.8520302639196169</v>
      </c>
      <c r="F118" s="9">
        <v>6.3647507568519108</v>
      </c>
      <c r="G118">
        <v>31.693989999999999</v>
      </c>
    </row>
    <row r="119" spans="1:7" x14ac:dyDescent="0.15">
      <c r="A119">
        <v>21.1</v>
      </c>
      <c r="B119">
        <v>19.8</v>
      </c>
      <c r="C119">
        <v>4.0999999999999996</v>
      </c>
      <c r="D119">
        <v>5.2</v>
      </c>
      <c r="E119" s="9">
        <v>5.3230099791384085</v>
      </c>
      <c r="F119" s="9">
        <v>6.3368257311464413</v>
      </c>
      <c r="G119">
        <v>14.28571</v>
      </c>
    </row>
    <row r="120" spans="1:7" x14ac:dyDescent="0.15">
      <c r="A120">
        <v>17</v>
      </c>
      <c r="B120">
        <v>15.8</v>
      </c>
      <c r="C120">
        <v>0.2</v>
      </c>
      <c r="D120">
        <v>10.9</v>
      </c>
      <c r="E120" s="9">
        <v>4.8283137373023015</v>
      </c>
      <c r="F120" s="9">
        <v>6.5820251388928259</v>
      </c>
      <c r="G120">
        <v>-10.465120000000001</v>
      </c>
    </row>
    <row r="121" spans="1:7" x14ac:dyDescent="0.15">
      <c r="A121">
        <v>32.799999999999997</v>
      </c>
      <c r="B121">
        <v>30.2</v>
      </c>
      <c r="C121">
        <v>2.4</v>
      </c>
      <c r="D121">
        <v>10.4</v>
      </c>
      <c r="E121" s="9">
        <v>4.3307333402863311</v>
      </c>
      <c r="F121" s="9">
        <v>6.0844994130751715</v>
      </c>
      <c r="G121">
        <v>-4.6357619999999997</v>
      </c>
    </row>
    <row r="122" spans="1:7" x14ac:dyDescent="0.15">
      <c r="A122">
        <v>5.8</v>
      </c>
      <c r="B122">
        <v>8.1</v>
      </c>
      <c r="C122">
        <v>79.5</v>
      </c>
      <c r="D122">
        <v>24.3</v>
      </c>
      <c r="E122" s="9">
        <v>4.8675344504555822</v>
      </c>
      <c r="F122" s="9">
        <v>6.6592939196836376</v>
      </c>
      <c r="G122">
        <v>7.97546</v>
      </c>
    </row>
    <row r="123" spans="1:7" x14ac:dyDescent="0.15">
      <c r="A123">
        <v>23.7</v>
      </c>
      <c r="B123">
        <v>15.3</v>
      </c>
      <c r="C123">
        <v>31.8</v>
      </c>
      <c r="D123">
        <v>20.9</v>
      </c>
      <c r="E123" s="9">
        <v>6.5027900459156234</v>
      </c>
      <c r="F123" s="9">
        <v>7.3594676382556212</v>
      </c>
      <c r="G123">
        <v>-67.5</v>
      </c>
    </row>
    <row r="124" spans="1:7" x14ac:dyDescent="0.15">
      <c r="A124">
        <v>11.9</v>
      </c>
      <c r="B124">
        <v>8.9</v>
      </c>
      <c r="C124">
        <v>6</v>
      </c>
      <c r="D124">
        <v>-30.4</v>
      </c>
      <c r="E124" s="9">
        <v>4.2484952420493594</v>
      </c>
      <c r="F124" s="9">
        <v>6.2653012127377101</v>
      </c>
      <c r="G124">
        <v>-8.0912869999999995</v>
      </c>
    </row>
    <row r="125" spans="1:7" x14ac:dyDescent="0.15">
      <c r="A125">
        <v>16.8</v>
      </c>
      <c r="B125">
        <v>11.2</v>
      </c>
      <c r="C125">
        <v>38.299999999999997</v>
      </c>
      <c r="D125">
        <v>11.6</v>
      </c>
      <c r="E125" s="9">
        <v>5.2203558250783244</v>
      </c>
      <c r="F125" s="9">
        <v>6.62273632394984</v>
      </c>
      <c r="G125">
        <v>-22.508040000000001</v>
      </c>
    </row>
    <row r="126" spans="1:7" x14ac:dyDescent="0.15">
      <c r="A126">
        <v>15.7</v>
      </c>
      <c r="B126">
        <v>9.1999999999999993</v>
      </c>
      <c r="C126">
        <v>27.9</v>
      </c>
      <c r="D126">
        <v>7.5</v>
      </c>
      <c r="E126" s="9">
        <v>7.1693500166705997</v>
      </c>
      <c r="F126" s="9">
        <v>7.1670378769122198</v>
      </c>
      <c r="G126">
        <v>-40.625</v>
      </c>
    </row>
    <row r="127" spans="1:7" x14ac:dyDescent="0.15">
      <c r="A127">
        <v>12.1</v>
      </c>
      <c r="B127">
        <v>7.1</v>
      </c>
      <c r="C127">
        <v>34.1</v>
      </c>
      <c r="D127">
        <v>-13.8</v>
      </c>
      <c r="E127" s="9">
        <v>7.0335064842876971</v>
      </c>
      <c r="F127" s="9">
        <v>7.161622002939187</v>
      </c>
      <c r="G127">
        <v>-55.280900000000003</v>
      </c>
    </row>
    <row r="128" spans="1:7" x14ac:dyDescent="0.15">
      <c r="A128">
        <v>25.4</v>
      </c>
      <c r="B128">
        <v>12.4</v>
      </c>
      <c r="C128">
        <v>47.7</v>
      </c>
      <c r="D128">
        <v>19.399999999999999</v>
      </c>
      <c r="E128" s="9">
        <v>5.6347896031692493</v>
      </c>
      <c r="F128" s="9">
        <v>7.1420365747068031</v>
      </c>
      <c r="G128">
        <v>2.51938</v>
      </c>
    </row>
    <row r="129" spans="1:7" x14ac:dyDescent="0.15">
      <c r="A129">
        <v>14</v>
      </c>
      <c r="B129">
        <v>8.4</v>
      </c>
      <c r="C129">
        <v>30</v>
      </c>
      <c r="D129">
        <v>2.1</v>
      </c>
      <c r="E129" s="9">
        <v>7.0527210492323231</v>
      </c>
      <c r="F129" s="9">
        <v>6.866933284461882</v>
      </c>
      <c r="G129">
        <v>-43.424320000000002</v>
      </c>
    </row>
    <row r="130" spans="1:7" x14ac:dyDescent="0.15">
      <c r="A130">
        <v>12.8</v>
      </c>
      <c r="B130">
        <v>8</v>
      </c>
      <c r="C130">
        <v>27.5</v>
      </c>
      <c r="D130">
        <v>2.5</v>
      </c>
      <c r="E130" s="9">
        <v>7.0308574761161209</v>
      </c>
      <c r="F130" s="9">
        <v>7.2298387781512501</v>
      </c>
      <c r="G130">
        <v>-36.790610000000001</v>
      </c>
    </row>
    <row r="131" spans="1:7" x14ac:dyDescent="0.15">
      <c r="A131">
        <v>31.4</v>
      </c>
      <c r="B131">
        <v>29.9</v>
      </c>
      <c r="C131">
        <v>2.2000000000000002</v>
      </c>
      <c r="D131">
        <v>27.5</v>
      </c>
      <c r="E131" s="9">
        <v>5.2522734280466299</v>
      </c>
      <c r="F131" s="9">
        <v>7.108244139731541</v>
      </c>
      <c r="G131">
        <v>-52.103560000000002</v>
      </c>
    </row>
    <row r="132" spans="1:7" x14ac:dyDescent="0.15">
      <c r="A132">
        <v>39.1</v>
      </c>
      <c r="B132">
        <v>37.299999999999997</v>
      </c>
      <c r="C132">
        <v>2.8</v>
      </c>
      <c r="D132">
        <v>42.3</v>
      </c>
      <c r="E132" s="9">
        <v>5.5872486584002496</v>
      </c>
      <c r="F132" s="9">
        <v>6.300785794663244</v>
      </c>
      <c r="G132">
        <v>19.399999999999999</v>
      </c>
    </row>
    <row r="133" spans="1:7" x14ac:dyDescent="0.15">
      <c r="A133">
        <v>20.2</v>
      </c>
      <c r="B133">
        <v>18.600000000000001</v>
      </c>
      <c r="C133">
        <v>10.5</v>
      </c>
      <c r="D133">
        <v>16.3</v>
      </c>
      <c r="E133" s="9">
        <v>5.1474944768134527</v>
      </c>
      <c r="F133" s="9">
        <v>9.570529135214711</v>
      </c>
      <c r="G133">
        <v>107.8947</v>
      </c>
    </row>
    <row r="134" spans="1:7" x14ac:dyDescent="0.15">
      <c r="A134">
        <v>2.1</v>
      </c>
      <c r="B134">
        <v>3.6</v>
      </c>
      <c r="C134">
        <v>37.200000000000003</v>
      </c>
      <c r="D134">
        <v>-87</v>
      </c>
      <c r="E134" s="9">
        <v>1.3862943611198906</v>
      </c>
      <c r="F134" s="9">
        <v>6.7900972355139046</v>
      </c>
      <c r="G134">
        <v>52.549019999999999</v>
      </c>
    </row>
    <row r="135" spans="1:7" x14ac:dyDescent="0.15">
      <c r="A135">
        <v>21</v>
      </c>
      <c r="B135">
        <v>16.7</v>
      </c>
      <c r="C135">
        <v>18.8</v>
      </c>
      <c r="D135">
        <v>19.7</v>
      </c>
      <c r="E135" s="9">
        <v>4.1743872698956368</v>
      </c>
      <c r="F135" s="9">
        <v>6.481577129276431</v>
      </c>
      <c r="G135">
        <v>-27.02703</v>
      </c>
    </row>
    <row r="136" spans="1:7" x14ac:dyDescent="0.15">
      <c r="A136">
        <v>25.3</v>
      </c>
      <c r="B136">
        <v>17.399999999999999</v>
      </c>
      <c r="C136">
        <v>32.4</v>
      </c>
      <c r="D136">
        <v>26.1</v>
      </c>
      <c r="E136" s="9">
        <v>6.6293632534374485</v>
      </c>
      <c r="F136" s="9">
        <v>7.3963352938008082</v>
      </c>
      <c r="G136">
        <v>-47.183100000000003</v>
      </c>
    </row>
    <row r="137" spans="1:7" x14ac:dyDescent="0.15">
      <c r="A137">
        <v>14.9</v>
      </c>
      <c r="B137">
        <v>7.6</v>
      </c>
      <c r="C137">
        <v>39.799999999999997</v>
      </c>
      <c r="D137">
        <v>16.600000000000001</v>
      </c>
      <c r="E137" s="9">
        <v>5.8998973535824915</v>
      </c>
      <c r="F137" s="9">
        <v>5.8111409929767008</v>
      </c>
      <c r="G137">
        <v>-55.685130000000001</v>
      </c>
    </row>
    <row r="138" spans="1:7" x14ac:dyDescent="0.15">
      <c r="A138">
        <v>12.6</v>
      </c>
      <c r="B138">
        <v>6.7</v>
      </c>
      <c r="C138">
        <v>47.3</v>
      </c>
      <c r="D138">
        <v>-15.9</v>
      </c>
      <c r="E138" s="9">
        <v>5.2311086168545868</v>
      </c>
      <c r="F138" s="9">
        <v>6.1025585946135692</v>
      </c>
      <c r="G138">
        <v>-23.036650000000002</v>
      </c>
    </row>
    <row r="139" spans="1:7" x14ac:dyDescent="0.15">
      <c r="A139">
        <v>12.5</v>
      </c>
      <c r="B139">
        <v>7.3</v>
      </c>
      <c r="C139">
        <v>40.4</v>
      </c>
      <c r="D139">
        <v>-3.5</v>
      </c>
      <c r="E139" s="9">
        <v>6.261491684321042</v>
      </c>
      <c r="F139" s="9">
        <v>6.5957805139613113</v>
      </c>
      <c r="G139">
        <v>-9.4017099999999996</v>
      </c>
    </row>
    <row r="140" spans="1:7" x14ac:dyDescent="0.15">
      <c r="A140">
        <v>13.7</v>
      </c>
      <c r="B140">
        <v>8.6999999999999993</v>
      </c>
      <c r="C140">
        <v>42.5</v>
      </c>
      <c r="D140">
        <v>-5.7</v>
      </c>
      <c r="E140" s="9">
        <v>5.3659760150218512</v>
      </c>
      <c r="F140" s="9">
        <v>6.2265366692874657</v>
      </c>
      <c r="G140">
        <v>-62.857140000000001</v>
      </c>
    </row>
    <row r="141" spans="1:7" x14ac:dyDescent="0.15">
      <c r="A141">
        <v>9.1</v>
      </c>
      <c r="B141">
        <v>6.9</v>
      </c>
      <c r="C141">
        <v>47.4</v>
      </c>
      <c r="D141">
        <v>-30.1</v>
      </c>
      <c r="E141" s="9">
        <v>6.4313310819334788</v>
      </c>
      <c r="F141" s="9">
        <v>6.7844570626376433</v>
      </c>
      <c r="G141">
        <v>-31.330469999999998</v>
      </c>
    </row>
    <row r="142" spans="1:7" x14ac:dyDescent="0.15">
      <c r="A142">
        <v>13.7</v>
      </c>
      <c r="B142">
        <v>9.5</v>
      </c>
      <c r="C142">
        <v>37.9</v>
      </c>
      <c r="D142">
        <v>12.6</v>
      </c>
      <c r="E142" s="9">
        <v>5.2311086168545868</v>
      </c>
      <c r="F142" s="9">
        <v>5.8111409929767008</v>
      </c>
      <c r="G142">
        <v>-19.140630000000002</v>
      </c>
    </row>
    <row r="143" spans="1:7" x14ac:dyDescent="0.15">
      <c r="A143">
        <v>37</v>
      </c>
      <c r="B143">
        <v>15.7</v>
      </c>
      <c r="C143">
        <v>53.9</v>
      </c>
      <c r="D143">
        <v>45.1</v>
      </c>
      <c r="E143" s="9">
        <v>8.1670681783412373</v>
      </c>
      <c r="F143" s="9">
        <v>7.1823521118852627</v>
      </c>
      <c r="G143">
        <v>38.13814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BA58-1EA4-E446-B8A8-E44150EBD76C}">
  <dimension ref="A1"/>
  <sheetViews>
    <sheetView topLeftCell="A13" workbookViewId="0">
      <selection activeCell="O31" sqref="O31"/>
    </sheetView>
  </sheetViews>
  <sheetFormatPr baseColWidth="10" defaultRowHeight="13" x14ac:dyDescent="0.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7A4A8-3C54-D64C-8E5C-97F1A311F5ED}">
  <dimension ref="A1:I23"/>
  <sheetViews>
    <sheetView topLeftCell="A19" zoomScale="253" workbookViewId="0">
      <selection activeCell="E25" sqref="E25"/>
    </sheetView>
  </sheetViews>
  <sheetFormatPr baseColWidth="10" defaultRowHeight="13" x14ac:dyDescent="0.15"/>
  <sheetData>
    <row r="1" spans="1:9" x14ac:dyDescent="0.15">
      <c r="A1" t="s">
        <v>9</v>
      </c>
    </row>
    <row r="2" spans="1:9" ht="14" thickBot="1" x14ac:dyDescent="0.2"/>
    <row r="3" spans="1:9" x14ac:dyDescent="0.15">
      <c r="A3" s="5" t="s">
        <v>10</v>
      </c>
      <c r="B3" s="5"/>
    </row>
    <row r="4" spans="1:9" x14ac:dyDescent="0.15">
      <c r="A4" s="2" t="s">
        <v>11</v>
      </c>
      <c r="B4" s="2">
        <v>0.25495846890843915</v>
      </c>
    </row>
    <row r="5" spans="1:9" x14ac:dyDescent="0.15">
      <c r="A5" s="2" t="s">
        <v>12</v>
      </c>
      <c r="B5" s="2">
        <v>6.5003820868135526E-2</v>
      </c>
    </row>
    <row r="6" spans="1:9" x14ac:dyDescent="0.15">
      <c r="A6" s="2" t="s">
        <v>13</v>
      </c>
      <c r="B6" s="2">
        <v>2.3448435128941552E-2</v>
      </c>
    </row>
    <row r="7" spans="1:9" x14ac:dyDescent="0.15">
      <c r="A7" s="2" t="s">
        <v>14</v>
      </c>
      <c r="B7" s="2">
        <v>38.954302223389121</v>
      </c>
    </row>
    <row r="8" spans="1:9" ht="14" thickBot="1" x14ac:dyDescent="0.2">
      <c r="A8" s="3" t="s">
        <v>15</v>
      </c>
      <c r="B8" s="3">
        <v>142</v>
      </c>
    </row>
    <row r="10" spans="1:9" ht="14" thickBot="1" x14ac:dyDescent="0.2">
      <c r="A10" t="s">
        <v>16</v>
      </c>
    </row>
    <row r="11" spans="1:9" x14ac:dyDescent="0.15">
      <c r="A11" s="4"/>
      <c r="B11" s="4" t="s">
        <v>21</v>
      </c>
      <c r="C11" s="4" t="s">
        <v>22</v>
      </c>
      <c r="D11" s="4" t="s">
        <v>23</v>
      </c>
      <c r="E11" s="4" t="s">
        <v>24</v>
      </c>
      <c r="F11" s="4" t="s">
        <v>25</v>
      </c>
    </row>
    <row r="12" spans="1:9" x14ac:dyDescent="0.15">
      <c r="A12" s="2" t="s">
        <v>17</v>
      </c>
      <c r="B12" s="2">
        <v>6</v>
      </c>
      <c r="C12" s="2">
        <v>14242.088362673909</v>
      </c>
      <c r="D12" s="2">
        <v>2373.6813937789848</v>
      </c>
      <c r="E12" s="2">
        <v>1.5642694613907913</v>
      </c>
      <c r="F12" s="2">
        <v>0.16228003847518635</v>
      </c>
    </row>
    <row r="13" spans="1:9" x14ac:dyDescent="0.15">
      <c r="A13" s="2" t="s">
        <v>18</v>
      </c>
      <c r="B13" s="2">
        <v>135</v>
      </c>
      <c r="C13" s="2">
        <v>204854.08433100375</v>
      </c>
      <c r="D13" s="2">
        <v>1517.4376617111388</v>
      </c>
      <c r="E13" s="2"/>
      <c r="F13" s="2"/>
    </row>
    <row r="14" spans="1:9" ht="14" thickBot="1" x14ac:dyDescent="0.2">
      <c r="A14" s="3" t="s">
        <v>19</v>
      </c>
      <c r="B14" s="3">
        <v>141</v>
      </c>
      <c r="C14" s="3">
        <v>219096.17269367765</v>
      </c>
      <c r="D14" s="3"/>
      <c r="E14" s="3"/>
      <c r="F14" s="3"/>
    </row>
    <row r="15" spans="1:9" ht="14" thickBot="1" x14ac:dyDescent="0.2"/>
    <row r="16" spans="1:9" x14ac:dyDescent="0.15">
      <c r="A16" s="4"/>
      <c r="B16" s="4" t="s">
        <v>26</v>
      </c>
      <c r="C16" s="4" t="s">
        <v>14</v>
      </c>
      <c r="D16" s="4" t="s">
        <v>27</v>
      </c>
      <c r="E16" s="4" t="s">
        <v>28</v>
      </c>
      <c r="F16" s="4" t="s">
        <v>29</v>
      </c>
      <c r="G16" s="4" t="s">
        <v>30</v>
      </c>
      <c r="H16" s="4" t="s">
        <v>31</v>
      </c>
      <c r="I16" s="4" t="s">
        <v>32</v>
      </c>
    </row>
    <row r="17" spans="1:9" x14ac:dyDescent="0.15">
      <c r="A17" s="2" t="s">
        <v>20</v>
      </c>
      <c r="B17" s="2">
        <v>-41.23971997520681</v>
      </c>
      <c r="C17" s="2">
        <v>40.048461469490469</v>
      </c>
      <c r="D17" s="2">
        <v>-1.0297454249677946</v>
      </c>
      <c r="E17" s="2">
        <v>0.30497090753146944</v>
      </c>
      <c r="F17" s="2">
        <v>-120.44325293873207</v>
      </c>
      <c r="G17" s="2">
        <v>37.963812988318452</v>
      </c>
      <c r="H17" s="2">
        <v>-120.44325293873207</v>
      </c>
      <c r="I17" s="2">
        <v>37.963812988318452</v>
      </c>
    </row>
    <row r="18" spans="1:9" x14ac:dyDescent="0.15">
      <c r="A18" s="2" t="s">
        <v>0</v>
      </c>
      <c r="B18" s="2">
        <v>-1.6770583370937282</v>
      </c>
      <c r="C18" s="2">
        <v>0.96233378523854762</v>
      </c>
      <c r="D18" s="2">
        <v>-1.7426992201858647</v>
      </c>
      <c r="E18" s="2">
        <v>8.366324918681721E-2</v>
      </c>
      <c r="F18" s="2">
        <v>-3.5802584322864259</v>
      </c>
      <c r="G18" s="2">
        <v>0.22614175809896944</v>
      </c>
      <c r="H18" s="2">
        <v>-3.5802584322864259</v>
      </c>
      <c r="I18" s="2">
        <v>0.22614175809896944</v>
      </c>
    </row>
    <row r="19" spans="1:9" x14ac:dyDescent="0.15">
      <c r="A19" s="2" t="s">
        <v>7</v>
      </c>
      <c r="B19" s="2">
        <v>1.3961535560294516</v>
      </c>
      <c r="C19" s="2">
        <v>1.3422194941486265</v>
      </c>
      <c r="D19" s="2">
        <v>1.0401827436689375</v>
      </c>
      <c r="E19" s="2">
        <v>0.30011434153688998</v>
      </c>
      <c r="F19" s="2">
        <v>-1.2583435719082696</v>
      </c>
      <c r="G19" s="2">
        <v>4.0506506839671728</v>
      </c>
      <c r="H19" s="2">
        <v>-1.2583435719082696</v>
      </c>
      <c r="I19" s="2">
        <v>4.0506506839671728</v>
      </c>
    </row>
    <row r="20" spans="1:9" x14ac:dyDescent="0.15">
      <c r="A20" s="2" t="s">
        <v>1</v>
      </c>
      <c r="B20" s="2">
        <v>0.4137320544902639</v>
      </c>
      <c r="C20" s="2">
        <v>0.27310308031416974</v>
      </c>
      <c r="D20" s="2">
        <v>1.5149300184176566</v>
      </c>
      <c r="E20" s="2">
        <v>0.13212800460229604</v>
      </c>
      <c r="F20" s="2">
        <v>-0.12638179833732224</v>
      </c>
      <c r="G20" s="2">
        <v>0.95384590731785002</v>
      </c>
      <c r="H20" s="2">
        <v>-0.12638179833732224</v>
      </c>
      <c r="I20" s="2">
        <v>0.95384590731785002</v>
      </c>
    </row>
    <row r="21" spans="1:9" x14ac:dyDescent="0.15">
      <c r="A21" s="2" t="s">
        <v>2</v>
      </c>
      <c r="B21" s="2">
        <v>0.12739681706256872</v>
      </c>
      <c r="C21" s="2">
        <v>9.1401329488481536E-2</v>
      </c>
      <c r="D21" s="2">
        <v>1.3938179868447467</v>
      </c>
      <c r="E21" s="2">
        <v>0.16566271024718462</v>
      </c>
      <c r="F21" s="2">
        <v>-5.3366886396202011E-2</v>
      </c>
      <c r="G21" s="2">
        <v>0.30816052052133946</v>
      </c>
      <c r="H21" s="2">
        <v>-5.3366886396202011E-2</v>
      </c>
      <c r="I21" s="2">
        <v>0.30816052052133946</v>
      </c>
    </row>
    <row r="22" spans="1:9" x14ac:dyDescent="0.15">
      <c r="A22" s="2" t="s">
        <v>33</v>
      </c>
      <c r="B22" s="2">
        <v>-2.7714078363804919</v>
      </c>
      <c r="C22" s="2">
        <v>3.4914277445988846</v>
      </c>
      <c r="D22" s="2">
        <v>-0.79377493653356046</v>
      </c>
      <c r="E22" s="2">
        <v>0.42871948624116718</v>
      </c>
      <c r="F22" s="2">
        <v>-9.6763775234125848</v>
      </c>
      <c r="G22" s="2">
        <v>4.1335618506516001</v>
      </c>
      <c r="H22" s="2">
        <v>-9.6763775234125848</v>
      </c>
      <c r="I22" s="2">
        <v>4.1335618506516001</v>
      </c>
    </row>
    <row r="23" spans="1:9" ht="14" thickBot="1" x14ac:dyDescent="0.2">
      <c r="A23" s="3" t="s">
        <v>34</v>
      </c>
      <c r="B23" s="3">
        <v>7.5429107410886331</v>
      </c>
      <c r="C23" s="3">
        <v>6.2766358462348153</v>
      </c>
      <c r="D23" s="3">
        <v>1.2017442027664265</v>
      </c>
      <c r="E23" s="3">
        <v>0.23156654583360822</v>
      </c>
      <c r="F23" s="3">
        <v>-4.8703434990530514</v>
      </c>
      <c r="G23" s="3">
        <v>19.956164981230319</v>
      </c>
      <c r="H23" s="3">
        <v>-4.8703434990530514</v>
      </c>
      <c r="I23" s="3">
        <v>19.956164981230319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7982-A872-0645-B649-96453901ECB9}">
  <dimension ref="A1:F10"/>
  <sheetViews>
    <sheetView workbookViewId="0">
      <selection activeCell="D11" sqref="D11"/>
    </sheetView>
  </sheetViews>
  <sheetFormatPr baseColWidth="10" defaultRowHeight="13" x14ac:dyDescent="0.15"/>
  <sheetData>
    <row r="1" spans="1:6" x14ac:dyDescent="0.15">
      <c r="A1" s="7" t="s">
        <v>35</v>
      </c>
      <c r="B1" s="7" t="s">
        <v>36</v>
      </c>
      <c r="C1" s="7" t="s">
        <v>37</v>
      </c>
      <c r="D1" s="7" t="s">
        <v>38</v>
      </c>
      <c r="E1" s="7" t="s">
        <v>39</v>
      </c>
      <c r="F1" s="7" t="s">
        <v>40</v>
      </c>
    </row>
    <row r="2" spans="1:6" x14ac:dyDescent="0.15">
      <c r="A2" s="7" t="s">
        <v>6</v>
      </c>
      <c r="B2" s="11">
        <f>AVERAGE(Revised_Data!I2:'Revised_Data'!I143)</f>
        <v>-4.0426858683098601</v>
      </c>
      <c r="C2" s="11">
        <f>MEDIAN(Revised_Data!I2:'Revised_Data'!I143)</f>
        <v>-8.6730185000000013</v>
      </c>
      <c r="D2" s="11">
        <f>MIN(Revised_Data!I2:'Revised_Data'!I143)</f>
        <v>-84.888099999999994</v>
      </c>
      <c r="E2" s="11">
        <f>MAX(Revised_Data!I2:'Revised_Data'!I143)</f>
        <v>131.83670000000001</v>
      </c>
      <c r="F2" s="11">
        <f>STDEV(Revised_Data!I2:'Revised_Data'!I143)</f>
        <v>39.419203000611112</v>
      </c>
    </row>
    <row r="3" spans="1:6" x14ac:dyDescent="0.15">
      <c r="A3" s="7" t="s">
        <v>0</v>
      </c>
      <c r="B3" s="11">
        <f>AVERAGE(Revised_Data!A2:'Revised_Data'!A143)</f>
        <v>17.730985915492951</v>
      </c>
      <c r="C3" s="11">
        <f>MEDIAN(Revised_Data!A2:'Revised_Data'!A143)</f>
        <v>15.8</v>
      </c>
      <c r="D3" s="11">
        <f>MIN(Revised_Data!A2:'Revised_Data'!A143)</f>
        <v>1.1000000000000001</v>
      </c>
      <c r="E3" s="12">
        <f>MAX(Revised_Data!A2:'Revised_Data'!A143)</f>
        <v>61.1</v>
      </c>
      <c r="F3" s="11">
        <f>STDEV(Revised_Data!A2:'Revised_Data'!A143)</f>
        <v>9.8846552266710361</v>
      </c>
    </row>
    <row r="4" spans="1:6" x14ac:dyDescent="0.15">
      <c r="A4" s="7" t="s">
        <v>7</v>
      </c>
      <c r="B4" s="11">
        <f>AVERAGE(Revised_Data!B2:'Revised_Data'!B143)</f>
        <v>13.711267605633806</v>
      </c>
      <c r="C4" s="11">
        <f>MEDIAN(Revised_Data!B2:'Revised_Data'!B143)</f>
        <v>12.05</v>
      </c>
      <c r="D4" s="11">
        <f>MIN(Revised_Data!B2:'Revised_Data'!B143)</f>
        <v>1.4</v>
      </c>
      <c r="E4" s="11">
        <f>MAX(Revised_Data!B2:'Revised_Data'!B143)</f>
        <v>43.3</v>
      </c>
      <c r="F4" s="11">
        <f>STDEV(Revised_Data!B2:'Revised_Data'!B143)</f>
        <v>7.8817870547297977</v>
      </c>
    </row>
    <row r="5" spans="1:6" x14ac:dyDescent="0.15">
      <c r="A5" s="7" t="s">
        <v>1</v>
      </c>
      <c r="B5" s="11">
        <f>AVERAGE(Revised_Data!C2:'Revised_Data'!C143)</f>
        <v>25.64859154929578</v>
      </c>
      <c r="C5" s="11">
        <f>MEDIAN(Revised_Data!C2:'Revised_Data'!C143)</f>
        <v>26.4</v>
      </c>
      <c r="D5" s="11">
        <f>MIN(Revised_Data!C2:'Revised_Data'!C143)</f>
        <v>0</v>
      </c>
      <c r="E5" s="11">
        <f>MAX(Revised_Data!C2:'Revised_Data'!C143)</f>
        <v>79.5</v>
      </c>
      <c r="F5" s="11">
        <f>STDEV(Revised_Data!C2:'Revised_Data'!C143)</f>
        <v>16.668417224018899</v>
      </c>
    </row>
    <row r="6" spans="1:6" x14ac:dyDescent="0.15">
      <c r="A6" s="7" t="s">
        <v>2</v>
      </c>
      <c r="B6" s="11">
        <f>AVERAGE(Revised_Data!D2:'Revised_Data'!D143)</f>
        <v>2.0197183098591553</v>
      </c>
      <c r="C6" s="11">
        <f>MEDIAN(Revised_Data!D2:'Revised_Data'!D143)</f>
        <v>6.7</v>
      </c>
      <c r="D6" s="11">
        <f>MIN(Revised_Data!D2:'Revised_Data'!D143)</f>
        <v>-89.3</v>
      </c>
      <c r="E6" s="11">
        <f>MAX(Revised_Data!D2:'Revised_Data'!D143)</f>
        <v>266.60000000000002</v>
      </c>
      <c r="F6" s="12">
        <f>STDEV(Revised_Data!D2:'Revised_Data'!D143)</f>
        <v>43.15437609103639</v>
      </c>
    </row>
    <row r="7" spans="1:6" x14ac:dyDescent="0.15">
      <c r="A7" s="7" t="s">
        <v>3</v>
      </c>
      <c r="B7" s="11">
        <f>AVERAGE(Revised_Data!E2:'Revised_Data'!E143)</f>
        <v>512.31690140845069</v>
      </c>
      <c r="C7" s="11">
        <f>MEDIAN(Revised_Data!E2:'Revised_Data'!E143)</f>
        <v>229.5</v>
      </c>
      <c r="D7" s="11">
        <f>MIN(Revised_Data!E2:'Revised_Data'!E143)</f>
        <v>4</v>
      </c>
      <c r="E7" s="11">
        <f>MAX(Revised_Data!E2:'Revised_Data'!E143)</f>
        <v>4237</v>
      </c>
      <c r="F7" s="11">
        <f>STDEV(Revised_Data!E2:'Revised_Data'!E143)</f>
        <v>723.60927870153432</v>
      </c>
    </row>
    <row r="8" spans="1:6" x14ac:dyDescent="0.15">
      <c r="A8" s="7" t="s">
        <v>8</v>
      </c>
      <c r="B8" s="11">
        <f>AVERAGE(Revised_Data!F2:'Revised_Data'!F143)</f>
        <v>1325.105633802817</v>
      </c>
      <c r="C8" s="11">
        <f>MEDIAN(Revised_Data!F2:'Revised_Data'!F143)</f>
        <v>1040.5</v>
      </c>
      <c r="D8" s="11">
        <f>MIN(Revised_Data!F2:'Revised_Data'!F143)</f>
        <v>267</v>
      </c>
      <c r="E8" s="11">
        <f>MAX(Revised_Data!F2:'Revised_Data'!F143)</f>
        <v>14336</v>
      </c>
      <c r="F8" s="11">
        <f>STDEV(Revised_Data!F2:'Revised_Data'!F143)</f>
        <v>1539.8937824092891</v>
      </c>
    </row>
    <row r="10" spans="1:6" x14ac:dyDescent="0.15">
      <c r="A10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9B40C-7544-FB45-848B-D1159987C0E3}">
  <dimension ref="A1:G143"/>
  <sheetViews>
    <sheetView workbookViewId="0">
      <selection activeCell="I12" sqref="I12"/>
    </sheetView>
  </sheetViews>
  <sheetFormatPr baseColWidth="10" defaultRowHeight="13" x14ac:dyDescent="0.15"/>
  <sheetData>
    <row r="1" spans="1:7" x14ac:dyDescent="0.1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8</v>
      </c>
      <c r="G1" s="1" t="s">
        <v>6</v>
      </c>
    </row>
    <row r="2" spans="1:7" x14ac:dyDescent="0.15">
      <c r="A2">
        <v>18.7</v>
      </c>
      <c r="B2">
        <v>17.399999999999999</v>
      </c>
      <c r="C2">
        <v>4</v>
      </c>
      <c r="D2">
        <v>48.1</v>
      </c>
      <c r="E2">
        <v>1144</v>
      </c>
      <c r="F2">
        <v>1090</v>
      </c>
      <c r="G2">
        <v>-20.842110000000002</v>
      </c>
    </row>
    <row r="3" spans="1:7" x14ac:dyDescent="0.15">
      <c r="A3">
        <v>1.6</v>
      </c>
      <c r="B3">
        <v>2.4</v>
      </c>
      <c r="C3">
        <v>27.3</v>
      </c>
      <c r="D3">
        <v>-85.3</v>
      </c>
      <c r="E3">
        <v>35</v>
      </c>
      <c r="F3">
        <v>1923</v>
      </c>
      <c r="G3">
        <v>-9.1383810000000008</v>
      </c>
    </row>
    <row r="4" spans="1:7" x14ac:dyDescent="0.15">
      <c r="A4">
        <v>4.9000000000000004</v>
      </c>
      <c r="B4">
        <v>4.5999999999999996</v>
      </c>
      <c r="C4">
        <v>36.799999999999997</v>
      </c>
      <c r="D4">
        <v>-44.1</v>
      </c>
      <c r="E4">
        <v>127</v>
      </c>
      <c r="F4">
        <v>1012</v>
      </c>
      <c r="G4">
        <v>86.217950000000002</v>
      </c>
    </row>
    <row r="5" spans="1:7" x14ac:dyDescent="0.15">
      <c r="A5">
        <v>11.1</v>
      </c>
      <c r="B5">
        <v>8.6</v>
      </c>
      <c r="C5">
        <v>46.4</v>
      </c>
      <c r="D5">
        <v>192.4</v>
      </c>
      <c r="E5">
        <v>367</v>
      </c>
      <c r="F5">
        <v>579</v>
      </c>
      <c r="G5">
        <v>131.83670000000001</v>
      </c>
    </row>
    <row r="6" spans="1:7" x14ac:dyDescent="0.15">
      <c r="A6">
        <v>5.6</v>
      </c>
      <c r="B6">
        <v>4.5</v>
      </c>
      <c r="C6">
        <v>36.200000000000003</v>
      </c>
      <c r="D6">
        <v>-60.4</v>
      </c>
      <c r="E6">
        <v>214</v>
      </c>
      <c r="F6">
        <v>600</v>
      </c>
      <c r="G6">
        <v>-8.1896550000000001</v>
      </c>
    </row>
    <row r="7" spans="1:7" x14ac:dyDescent="0.15">
      <c r="A7">
        <v>3.5</v>
      </c>
      <c r="B7">
        <v>2.9</v>
      </c>
      <c r="C7">
        <v>18.7</v>
      </c>
      <c r="D7">
        <v>-79.8</v>
      </c>
      <c r="E7">
        <v>118</v>
      </c>
      <c r="F7">
        <v>735</v>
      </c>
      <c r="G7">
        <v>-26.00733</v>
      </c>
    </row>
    <row r="8" spans="1:7" x14ac:dyDescent="0.15">
      <c r="A8">
        <v>12.3</v>
      </c>
      <c r="B8">
        <v>8.5</v>
      </c>
      <c r="C8">
        <v>34.4</v>
      </c>
      <c r="D8">
        <v>39</v>
      </c>
      <c r="E8">
        <v>175</v>
      </c>
      <c r="F8">
        <v>994</v>
      </c>
      <c r="G8">
        <v>52.272730000000003</v>
      </c>
    </row>
    <row r="9" spans="1:7" x14ac:dyDescent="0.15">
      <c r="A9">
        <v>7.5</v>
      </c>
      <c r="B9">
        <v>6.3</v>
      </c>
      <c r="C9">
        <v>57.8</v>
      </c>
      <c r="D9">
        <v>-62.8</v>
      </c>
      <c r="E9">
        <v>1692</v>
      </c>
      <c r="F9">
        <v>1227</v>
      </c>
      <c r="G9">
        <v>-36.103149999999999</v>
      </c>
    </row>
    <row r="10" spans="1:7" x14ac:dyDescent="0.15">
      <c r="A10">
        <v>15.6</v>
      </c>
      <c r="B10">
        <v>10.5</v>
      </c>
      <c r="C10">
        <v>33.4</v>
      </c>
      <c r="D10">
        <v>-16.2</v>
      </c>
      <c r="E10">
        <v>157</v>
      </c>
      <c r="F10">
        <v>913</v>
      </c>
      <c r="G10">
        <v>3.508772</v>
      </c>
    </row>
    <row r="11" spans="1:7" x14ac:dyDescent="0.15">
      <c r="A11">
        <v>12.5</v>
      </c>
      <c r="B11">
        <v>9.4</v>
      </c>
      <c r="C11">
        <v>33.4</v>
      </c>
      <c r="D11">
        <v>-19.100000000000001</v>
      </c>
      <c r="E11">
        <v>315</v>
      </c>
      <c r="F11">
        <v>733</v>
      </c>
      <c r="G11">
        <v>28.619530000000001</v>
      </c>
    </row>
    <row r="12" spans="1:7" x14ac:dyDescent="0.15">
      <c r="A12">
        <v>17.399999999999999</v>
      </c>
      <c r="B12">
        <v>16.399999999999999</v>
      </c>
      <c r="C12">
        <v>16.7</v>
      </c>
      <c r="D12">
        <v>12.8</v>
      </c>
      <c r="E12">
        <v>407</v>
      </c>
      <c r="F12">
        <v>1247</v>
      </c>
      <c r="G12">
        <v>-21.62162</v>
      </c>
    </row>
    <row r="13" spans="1:7" x14ac:dyDescent="0.15">
      <c r="A13">
        <v>9.6999999999999993</v>
      </c>
      <c r="B13">
        <v>8.9</v>
      </c>
      <c r="C13">
        <v>18.3</v>
      </c>
      <c r="D13">
        <v>-34.799999999999997</v>
      </c>
      <c r="E13">
        <v>165</v>
      </c>
      <c r="F13">
        <v>925</v>
      </c>
      <c r="G13">
        <v>6.5743939999999998</v>
      </c>
    </row>
    <row r="14" spans="1:7" x14ac:dyDescent="0.15">
      <c r="A14">
        <v>12.7</v>
      </c>
      <c r="B14">
        <v>11.8</v>
      </c>
      <c r="C14">
        <v>27.6</v>
      </c>
      <c r="D14">
        <v>-8.6</v>
      </c>
      <c r="E14">
        <v>288</v>
      </c>
      <c r="F14">
        <v>602</v>
      </c>
      <c r="G14">
        <v>100.6061</v>
      </c>
    </row>
    <row r="15" spans="1:7" x14ac:dyDescent="0.15">
      <c r="A15">
        <v>15</v>
      </c>
      <c r="B15">
        <v>12.7</v>
      </c>
      <c r="C15">
        <v>27.3</v>
      </c>
      <c r="D15">
        <v>9.5</v>
      </c>
      <c r="E15">
        <v>147</v>
      </c>
      <c r="F15">
        <v>1006</v>
      </c>
      <c r="G15">
        <v>-5.2132699999999996</v>
      </c>
    </row>
    <row r="16" spans="1:7" x14ac:dyDescent="0.15">
      <c r="A16">
        <v>16.7</v>
      </c>
      <c r="B16">
        <v>12.7</v>
      </c>
      <c r="C16">
        <v>35</v>
      </c>
      <c r="D16">
        <v>19.3</v>
      </c>
      <c r="E16">
        <v>177</v>
      </c>
      <c r="F16">
        <v>593</v>
      </c>
      <c r="G16">
        <v>-27.6</v>
      </c>
    </row>
    <row r="17" spans="1:7" x14ac:dyDescent="0.15">
      <c r="A17">
        <v>57</v>
      </c>
      <c r="B17">
        <v>43.3</v>
      </c>
      <c r="C17">
        <v>12.3</v>
      </c>
      <c r="D17">
        <v>59.5</v>
      </c>
      <c r="E17">
        <v>1845</v>
      </c>
      <c r="F17">
        <v>3142</v>
      </c>
      <c r="G17">
        <v>-33.333329999999997</v>
      </c>
    </row>
    <row r="18" spans="1:7" x14ac:dyDescent="0.15">
      <c r="A18">
        <v>25.7</v>
      </c>
      <c r="B18">
        <v>11.9</v>
      </c>
      <c r="C18">
        <v>53.9</v>
      </c>
      <c r="D18">
        <v>12.8</v>
      </c>
      <c r="E18">
        <v>1013</v>
      </c>
      <c r="F18">
        <v>1893</v>
      </c>
      <c r="G18">
        <v>-43.359380000000002</v>
      </c>
    </row>
    <row r="19" spans="1:7" x14ac:dyDescent="0.15">
      <c r="A19">
        <v>22.9</v>
      </c>
      <c r="B19">
        <v>12</v>
      </c>
      <c r="C19">
        <v>33.200000000000003</v>
      </c>
      <c r="D19">
        <v>9</v>
      </c>
      <c r="E19">
        <v>829</v>
      </c>
      <c r="F19">
        <v>1740</v>
      </c>
      <c r="G19">
        <v>32.142859999999999</v>
      </c>
    </row>
    <row r="20" spans="1:7" x14ac:dyDescent="0.15">
      <c r="A20">
        <v>18.899999999999999</v>
      </c>
      <c r="B20">
        <v>13.5</v>
      </c>
      <c r="C20">
        <v>19.899999999999999</v>
      </c>
      <c r="D20">
        <v>5</v>
      </c>
      <c r="E20">
        <v>475</v>
      </c>
      <c r="F20">
        <v>1558</v>
      </c>
      <c r="G20">
        <v>-6.6037739999999996</v>
      </c>
    </row>
    <row r="21" spans="1:7" x14ac:dyDescent="0.15">
      <c r="A21">
        <v>15.8</v>
      </c>
      <c r="B21">
        <v>10</v>
      </c>
      <c r="C21">
        <v>31.4</v>
      </c>
      <c r="D21">
        <v>2.7</v>
      </c>
      <c r="E21">
        <v>230</v>
      </c>
      <c r="F21">
        <v>1095</v>
      </c>
      <c r="G21">
        <v>-7.03125</v>
      </c>
    </row>
    <row r="22" spans="1:7" x14ac:dyDescent="0.15">
      <c r="A22">
        <v>14.4</v>
      </c>
      <c r="B22">
        <v>12.2</v>
      </c>
      <c r="C22">
        <v>14.5</v>
      </c>
      <c r="D22">
        <v>2.6</v>
      </c>
      <c r="E22">
        <v>335</v>
      </c>
      <c r="F22">
        <v>1235</v>
      </c>
      <c r="G22">
        <v>2.5641029999999998</v>
      </c>
    </row>
    <row r="23" spans="1:7" x14ac:dyDescent="0.15">
      <c r="A23">
        <v>22.3</v>
      </c>
      <c r="B23">
        <v>20.3</v>
      </c>
      <c r="C23">
        <v>0</v>
      </c>
      <c r="D23">
        <v>16</v>
      </c>
      <c r="E23">
        <v>63</v>
      </c>
      <c r="F23">
        <v>569</v>
      </c>
      <c r="G23">
        <v>3.361345</v>
      </c>
    </row>
    <row r="24" spans="1:7" x14ac:dyDescent="0.15">
      <c r="A24">
        <v>19</v>
      </c>
      <c r="B24">
        <v>14.8</v>
      </c>
      <c r="C24">
        <v>32.9</v>
      </c>
      <c r="D24">
        <v>-42.6</v>
      </c>
      <c r="E24">
        <v>1537</v>
      </c>
      <c r="F24">
        <v>930</v>
      </c>
      <c r="G24">
        <v>-5.7793349999999997</v>
      </c>
    </row>
    <row r="25" spans="1:7" x14ac:dyDescent="0.15">
      <c r="A25">
        <v>25.5</v>
      </c>
      <c r="B25">
        <v>15.5</v>
      </c>
      <c r="C25">
        <v>36.1</v>
      </c>
      <c r="D25">
        <v>9.1</v>
      </c>
      <c r="E25">
        <v>228</v>
      </c>
      <c r="F25">
        <v>940</v>
      </c>
      <c r="G25">
        <v>-65</v>
      </c>
    </row>
    <row r="26" spans="1:7" x14ac:dyDescent="0.15">
      <c r="A26">
        <v>27.1</v>
      </c>
      <c r="B26">
        <v>23.6</v>
      </c>
      <c r="C26">
        <v>6.6</v>
      </c>
      <c r="D26">
        <v>20.6</v>
      </c>
      <c r="E26">
        <v>174</v>
      </c>
      <c r="F26">
        <v>926</v>
      </c>
      <c r="G26">
        <v>-9.6666670000000003</v>
      </c>
    </row>
    <row r="27" spans="1:7" x14ac:dyDescent="0.15">
      <c r="A27">
        <v>14.6</v>
      </c>
      <c r="B27">
        <v>10.7</v>
      </c>
      <c r="C27">
        <v>20.399999999999999</v>
      </c>
      <c r="D27">
        <v>-3.4</v>
      </c>
      <c r="E27">
        <v>191</v>
      </c>
      <c r="F27">
        <v>756</v>
      </c>
      <c r="G27">
        <v>64.388490000000004</v>
      </c>
    </row>
    <row r="28" spans="1:7" x14ac:dyDescent="0.15">
      <c r="A28">
        <v>20.5</v>
      </c>
      <c r="B28">
        <v>12.7</v>
      </c>
      <c r="C28">
        <v>41.8</v>
      </c>
      <c r="D28">
        <v>13.4</v>
      </c>
      <c r="E28">
        <v>4237</v>
      </c>
      <c r="F28">
        <v>2969</v>
      </c>
      <c r="G28">
        <v>-20.930230000000002</v>
      </c>
    </row>
    <row r="29" spans="1:7" x14ac:dyDescent="0.15">
      <c r="A29">
        <v>13.7</v>
      </c>
      <c r="B29">
        <v>10.199999999999999</v>
      </c>
      <c r="C29">
        <v>40.200000000000003</v>
      </c>
      <c r="D29">
        <v>43.5</v>
      </c>
      <c r="E29">
        <v>1131</v>
      </c>
      <c r="F29">
        <v>3836</v>
      </c>
      <c r="G29">
        <v>50.53078</v>
      </c>
    </row>
    <row r="30" spans="1:7" x14ac:dyDescent="0.15">
      <c r="A30">
        <v>17.8</v>
      </c>
      <c r="B30">
        <v>15.7</v>
      </c>
      <c r="C30">
        <v>10.9</v>
      </c>
      <c r="D30">
        <v>13.9</v>
      </c>
      <c r="E30">
        <v>66</v>
      </c>
      <c r="F30">
        <v>477</v>
      </c>
      <c r="G30">
        <v>5.1094889999999999</v>
      </c>
    </row>
    <row r="31" spans="1:7" x14ac:dyDescent="0.15">
      <c r="A31">
        <v>10.7</v>
      </c>
      <c r="B31">
        <v>7.5</v>
      </c>
      <c r="C31">
        <v>69.900000000000006</v>
      </c>
      <c r="D31">
        <v>4.3</v>
      </c>
      <c r="E31">
        <v>282</v>
      </c>
      <c r="F31">
        <v>2600</v>
      </c>
      <c r="G31">
        <v>104.5685</v>
      </c>
    </row>
    <row r="32" spans="1:7" x14ac:dyDescent="0.15">
      <c r="A32">
        <v>11.2</v>
      </c>
      <c r="B32">
        <v>6.7</v>
      </c>
      <c r="C32">
        <v>68.099999999999994</v>
      </c>
      <c r="D32">
        <v>-54.4</v>
      </c>
      <c r="E32">
        <v>151</v>
      </c>
      <c r="F32">
        <v>1182</v>
      </c>
      <c r="G32">
        <v>-27.22513</v>
      </c>
    </row>
    <row r="33" spans="1:7" x14ac:dyDescent="0.15">
      <c r="A33">
        <v>18</v>
      </c>
      <c r="B33">
        <v>13</v>
      </c>
      <c r="C33">
        <v>25.7</v>
      </c>
      <c r="D33">
        <v>8.6</v>
      </c>
      <c r="E33">
        <v>229</v>
      </c>
      <c r="F33">
        <v>930</v>
      </c>
      <c r="G33">
        <v>-35.071939999999998</v>
      </c>
    </row>
    <row r="34" spans="1:7" x14ac:dyDescent="0.15">
      <c r="A34">
        <v>34.700000000000003</v>
      </c>
      <c r="B34">
        <v>28.7</v>
      </c>
      <c r="C34">
        <v>4.2</v>
      </c>
      <c r="D34">
        <v>15.7</v>
      </c>
      <c r="E34">
        <v>939</v>
      </c>
      <c r="F34">
        <v>1165</v>
      </c>
      <c r="G34">
        <v>-52.022060000000003</v>
      </c>
    </row>
    <row r="35" spans="1:7" x14ac:dyDescent="0.15">
      <c r="A35">
        <v>11.5</v>
      </c>
      <c r="B35">
        <v>9.4</v>
      </c>
      <c r="C35">
        <v>26.7</v>
      </c>
      <c r="D35">
        <v>28.8</v>
      </c>
      <c r="E35">
        <v>24</v>
      </c>
      <c r="F35">
        <v>357</v>
      </c>
      <c r="G35">
        <v>-58.974359999999997</v>
      </c>
    </row>
    <row r="36" spans="1:7" x14ac:dyDescent="0.15">
      <c r="A36">
        <v>61.1</v>
      </c>
      <c r="B36">
        <v>33.5</v>
      </c>
      <c r="C36">
        <v>34.1</v>
      </c>
      <c r="D36">
        <v>13.8</v>
      </c>
      <c r="E36">
        <v>1207</v>
      </c>
      <c r="F36">
        <v>1704</v>
      </c>
      <c r="G36">
        <v>-41.62791</v>
      </c>
    </row>
    <row r="37" spans="1:7" x14ac:dyDescent="0.15">
      <c r="A37">
        <v>17.5</v>
      </c>
      <c r="B37">
        <v>14.1</v>
      </c>
      <c r="C37">
        <v>18.2</v>
      </c>
      <c r="D37">
        <v>15.7</v>
      </c>
      <c r="E37">
        <v>127</v>
      </c>
      <c r="F37">
        <v>1336</v>
      </c>
      <c r="G37">
        <v>-47.884619999999998</v>
      </c>
    </row>
    <row r="38" spans="1:7" x14ac:dyDescent="0.15">
      <c r="A38">
        <v>11</v>
      </c>
      <c r="B38">
        <v>9.4</v>
      </c>
      <c r="C38">
        <v>10.7</v>
      </c>
      <c r="D38">
        <v>-42.1</v>
      </c>
      <c r="E38">
        <v>217</v>
      </c>
      <c r="F38">
        <v>1345</v>
      </c>
      <c r="G38">
        <v>-20.12987</v>
      </c>
    </row>
    <row r="39" spans="1:7" x14ac:dyDescent="0.15">
      <c r="A39">
        <v>17.8</v>
      </c>
      <c r="B39">
        <v>16.600000000000001</v>
      </c>
      <c r="C39">
        <v>3.8</v>
      </c>
      <c r="D39">
        <v>-1.8</v>
      </c>
      <c r="E39">
        <v>290</v>
      </c>
      <c r="F39">
        <v>578</v>
      </c>
      <c r="G39">
        <v>63.483150000000002</v>
      </c>
    </row>
    <row r="40" spans="1:7" x14ac:dyDescent="0.15">
      <c r="A40">
        <v>13.7</v>
      </c>
      <c r="B40">
        <v>11.8</v>
      </c>
      <c r="C40">
        <v>15.2</v>
      </c>
      <c r="D40">
        <v>5.8</v>
      </c>
      <c r="E40">
        <v>522</v>
      </c>
      <c r="F40">
        <v>932</v>
      </c>
      <c r="G40">
        <v>-0.64239829999999998</v>
      </c>
    </row>
    <row r="41" spans="1:7" x14ac:dyDescent="0.15">
      <c r="A41">
        <v>14.2</v>
      </c>
      <c r="B41">
        <v>13.9</v>
      </c>
      <c r="C41">
        <v>1.5</v>
      </c>
      <c r="D41">
        <v>14.2</v>
      </c>
      <c r="E41">
        <v>64</v>
      </c>
      <c r="F41">
        <v>518</v>
      </c>
      <c r="G41">
        <v>-12.10191</v>
      </c>
    </row>
    <row r="42" spans="1:7" x14ac:dyDescent="0.15">
      <c r="A42">
        <v>19.899999999999999</v>
      </c>
      <c r="B42">
        <v>18.7</v>
      </c>
      <c r="C42">
        <v>12.7</v>
      </c>
      <c r="D42">
        <v>4.5999999999999996</v>
      </c>
      <c r="E42">
        <v>613</v>
      </c>
      <c r="F42">
        <v>1769</v>
      </c>
      <c r="G42">
        <v>59.935899999999997</v>
      </c>
    </row>
    <row r="43" spans="1:7" x14ac:dyDescent="0.15">
      <c r="A43">
        <v>14.3</v>
      </c>
      <c r="B43">
        <v>11.8</v>
      </c>
      <c r="C43">
        <v>15.5</v>
      </c>
      <c r="D43">
        <v>4.2</v>
      </c>
      <c r="E43">
        <v>474</v>
      </c>
      <c r="F43">
        <v>1942</v>
      </c>
      <c r="G43">
        <v>-10.81081</v>
      </c>
    </row>
    <row r="44" spans="1:7" x14ac:dyDescent="0.15">
      <c r="A44">
        <v>1.6</v>
      </c>
      <c r="B44">
        <v>2.9</v>
      </c>
      <c r="C44">
        <v>28.9</v>
      </c>
      <c r="D44">
        <v>5</v>
      </c>
      <c r="E44">
        <v>27</v>
      </c>
      <c r="F44">
        <v>1416</v>
      </c>
      <c r="G44">
        <v>-24.9467</v>
      </c>
    </row>
    <row r="45" spans="1:7" x14ac:dyDescent="0.15">
      <c r="A45">
        <v>32.9</v>
      </c>
      <c r="B45">
        <v>32.1</v>
      </c>
      <c r="C45">
        <v>0</v>
      </c>
      <c r="D45">
        <v>7.9</v>
      </c>
      <c r="E45">
        <v>113</v>
      </c>
      <c r="F45">
        <v>729</v>
      </c>
      <c r="G45">
        <v>-7.925408</v>
      </c>
    </row>
    <row r="46" spans="1:7" x14ac:dyDescent="0.15">
      <c r="A46">
        <v>10.9</v>
      </c>
      <c r="B46">
        <v>7.2</v>
      </c>
      <c r="C46">
        <v>22.9</v>
      </c>
      <c r="D46">
        <v>-30.5</v>
      </c>
      <c r="E46">
        <v>147</v>
      </c>
      <c r="F46">
        <v>1081</v>
      </c>
      <c r="G46">
        <v>-46.753250000000001</v>
      </c>
    </row>
    <row r="47" spans="1:7" x14ac:dyDescent="0.15">
      <c r="A47">
        <v>19.5</v>
      </c>
      <c r="B47">
        <v>12.5</v>
      </c>
      <c r="C47">
        <v>40.1</v>
      </c>
      <c r="D47">
        <v>20.8</v>
      </c>
      <c r="E47">
        <v>138</v>
      </c>
      <c r="F47">
        <v>1123</v>
      </c>
      <c r="G47">
        <v>-18.7056</v>
      </c>
    </row>
    <row r="48" spans="1:7" x14ac:dyDescent="0.15">
      <c r="A48">
        <v>12.6</v>
      </c>
      <c r="B48">
        <v>8.3000000000000007</v>
      </c>
      <c r="C48">
        <v>33.299999999999997</v>
      </c>
      <c r="D48">
        <v>-5.7</v>
      </c>
      <c r="E48">
        <v>112</v>
      </c>
      <c r="F48">
        <v>1048</v>
      </c>
      <c r="G48">
        <v>-17.575759999999999</v>
      </c>
    </row>
    <row r="49" spans="1:7" x14ac:dyDescent="0.15">
      <c r="A49">
        <v>21.1</v>
      </c>
      <c r="B49">
        <v>19.399999999999999</v>
      </c>
      <c r="C49">
        <v>2.8</v>
      </c>
      <c r="D49">
        <v>11.9</v>
      </c>
      <c r="E49">
        <v>156</v>
      </c>
      <c r="F49">
        <v>773</v>
      </c>
      <c r="G49">
        <v>43.54166</v>
      </c>
    </row>
    <row r="50" spans="1:7" x14ac:dyDescent="0.15">
      <c r="A50">
        <v>14.7</v>
      </c>
      <c r="B50">
        <v>11.6</v>
      </c>
      <c r="C50">
        <v>26.5</v>
      </c>
      <c r="D50">
        <v>0.8</v>
      </c>
      <c r="E50">
        <v>114</v>
      </c>
      <c r="F50">
        <v>763</v>
      </c>
      <c r="G50">
        <v>-8.3333329999999997</v>
      </c>
    </row>
    <row r="51" spans="1:7" x14ac:dyDescent="0.15">
      <c r="A51">
        <v>14.6</v>
      </c>
      <c r="B51">
        <v>11.8</v>
      </c>
      <c r="C51">
        <v>13.8</v>
      </c>
      <c r="D51">
        <v>6.6</v>
      </c>
      <c r="E51">
        <v>204</v>
      </c>
      <c r="F51">
        <v>1191</v>
      </c>
      <c r="G51">
        <v>-37.313429999999997</v>
      </c>
    </row>
    <row r="52" spans="1:7" x14ac:dyDescent="0.15">
      <c r="A52">
        <v>23.4</v>
      </c>
      <c r="B52">
        <v>14.5</v>
      </c>
      <c r="C52">
        <v>51.3</v>
      </c>
      <c r="D52">
        <v>-2.5</v>
      </c>
      <c r="E52">
        <v>208</v>
      </c>
      <c r="F52">
        <v>727</v>
      </c>
      <c r="G52">
        <v>6.9182389999999998</v>
      </c>
    </row>
    <row r="53" spans="1:7" x14ac:dyDescent="0.15">
      <c r="A53">
        <v>4.7</v>
      </c>
      <c r="B53">
        <v>4.7</v>
      </c>
      <c r="C53">
        <v>46.6</v>
      </c>
      <c r="D53">
        <v>-65.099999999999994</v>
      </c>
      <c r="E53">
        <v>317</v>
      </c>
      <c r="F53">
        <v>947</v>
      </c>
      <c r="G53">
        <v>16.10942</v>
      </c>
    </row>
    <row r="54" spans="1:7" x14ac:dyDescent="0.15">
      <c r="A54">
        <v>37.200000000000003</v>
      </c>
      <c r="B54">
        <v>32.5</v>
      </c>
      <c r="C54">
        <v>17.899999999999999</v>
      </c>
      <c r="D54">
        <v>266.60000000000002</v>
      </c>
      <c r="E54">
        <v>1383</v>
      </c>
      <c r="F54">
        <v>3667</v>
      </c>
      <c r="G54">
        <v>9.4059410000000003</v>
      </c>
    </row>
    <row r="55" spans="1:7" x14ac:dyDescent="0.15">
      <c r="A55">
        <v>26.7</v>
      </c>
      <c r="B55">
        <v>20.8</v>
      </c>
      <c r="C55">
        <v>24.5</v>
      </c>
      <c r="D55">
        <v>17.600000000000001</v>
      </c>
      <c r="E55">
        <v>824</v>
      </c>
      <c r="F55">
        <v>11338</v>
      </c>
      <c r="G55">
        <v>-58.928570000000001</v>
      </c>
    </row>
    <row r="56" spans="1:7" x14ac:dyDescent="0.15">
      <c r="A56">
        <v>15.8</v>
      </c>
      <c r="B56">
        <v>12.8</v>
      </c>
      <c r="C56">
        <v>19</v>
      </c>
      <c r="D56">
        <v>-61.6</v>
      </c>
      <c r="E56">
        <v>211</v>
      </c>
      <c r="F56">
        <v>1017</v>
      </c>
      <c r="G56">
        <v>4.6511630000000004</v>
      </c>
    </row>
    <row r="57" spans="1:7" x14ac:dyDescent="0.15">
      <c r="A57">
        <v>15.5</v>
      </c>
      <c r="B57">
        <v>11.4</v>
      </c>
      <c r="C57">
        <v>28.7</v>
      </c>
      <c r="D57">
        <v>-26.3</v>
      </c>
      <c r="E57">
        <v>415</v>
      </c>
      <c r="F57">
        <v>1434</v>
      </c>
      <c r="G57">
        <v>-8.7098259999999996</v>
      </c>
    </row>
    <row r="58" spans="1:7" x14ac:dyDescent="0.15">
      <c r="A58">
        <v>16.2</v>
      </c>
      <c r="B58">
        <v>13</v>
      </c>
      <c r="C58">
        <v>21.7</v>
      </c>
      <c r="D58">
        <v>17.899999999999999</v>
      </c>
      <c r="E58">
        <v>290</v>
      </c>
      <c r="F58">
        <v>918</v>
      </c>
      <c r="G58">
        <v>-30.523260000000001</v>
      </c>
    </row>
    <row r="59" spans="1:7" x14ac:dyDescent="0.15">
      <c r="A59">
        <v>19</v>
      </c>
      <c r="B59">
        <v>14.5</v>
      </c>
      <c r="C59">
        <v>18</v>
      </c>
      <c r="D59">
        <v>6.7</v>
      </c>
      <c r="E59">
        <v>76</v>
      </c>
      <c r="F59">
        <v>780</v>
      </c>
      <c r="G59">
        <v>-36.571429999999999</v>
      </c>
    </row>
    <row r="60" spans="1:7" x14ac:dyDescent="0.15">
      <c r="A60">
        <v>20.3</v>
      </c>
      <c r="B60">
        <v>15.4</v>
      </c>
      <c r="C60">
        <v>29.3</v>
      </c>
      <c r="D60">
        <v>11.9</v>
      </c>
      <c r="E60">
        <v>178</v>
      </c>
      <c r="F60">
        <v>842</v>
      </c>
      <c r="G60">
        <v>-2.506964</v>
      </c>
    </row>
    <row r="61" spans="1:7" x14ac:dyDescent="0.15">
      <c r="A61">
        <v>22.1</v>
      </c>
      <c r="B61">
        <v>20.2</v>
      </c>
      <c r="C61">
        <v>3.6</v>
      </c>
      <c r="D61">
        <v>6.9</v>
      </c>
      <c r="E61">
        <v>1305</v>
      </c>
      <c r="F61">
        <v>1275</v>
      </c>
      <c r="G61">
        <v>-33.009099999999997</v>
      </c>
    </row>
    <row r="62" spans="1:7" x14ac:dyDescent="0.15">
      <c r="A62">
        <v>22.6</v>
      </c>
      <c r="B62">
        <v>19.5</v>
      </c>
      <c r="C62">
        <v>15.4</v>
      </c>
      <c r="D62">
        <v>29.8</v>
      </c>
      <c r="E62">
        <v>103</v>
      </c>
      <c r="F62">
        <v>1064</v>
      </c>
      <c r="G62">
        <v>-5.084746</v>
      </c>
    </row>
    <row r="63" spans="1:7" x14ac:dyDescent="0.15">
      <c r="A63">
        <v>21.8</v>
      </c>
      <c r="B63">
        <v>19.399999999999999</v>
      </c>
      <c r="C63">
        <v>5.5</v>
      </c>
      <c r="D63">
        <v>17.2</v>
      </c>
      <c r="E63">
        <v>130</v>
      </c>
      <c r="F63">
        <v>725</v>
      </c>
      <c r="G63">
        <v>-21.768709999999999</v>
      </c>
    </row>
    <row r="64" spans="1:7" x14ac:dyDescent="0.15">
      <c r="A64">
        <v>23.4</v>
      </c>
      <c r="B64">
        <v>12.7</v>
      </c>
      <c r="C64">
        <v>35.5</v>
      </c>
      <c r="D64">
        <v>-17.5</v>
      </c>
      <c r="E64">
        <v>1525</v>
      </c>
      <c r="F64">
        <v>2262</v>
      </c>
      <c r="G64">
        <v>-8.6419750000000004</v>
      </c>
    </row>
    <row r="65" spans="1:7" x14ac:dyDescent="0.15">
      <c r="A65">
        <v>4.0999999999999996</v>
      </c>
      <c r="B65">
        <v>4.0999999999999996</v>
      </c>
      <c r="C65">
        <v>23.8</v>
      </c>
      <c r="D65">
        <v>-49.9</v>
      </c>
      <c r="E65">
        <v>1349</v>
      </c>
      <c r="F65">
        <v>1359</v>
      </c>
      <c r="G65">
        <v>-34.059040000000003</v>
      </c>
    </row>
    <row r="66" spans="1:7" x14ac:dyDescent="0.15">
      <c r="A66">
        <v>12.6</v>
      </c>
      <c r="B66">
        <v>8.5</v>
      </c>
      <c r="C66">
        <v>13.5</v>
      </c>
      <c r="D66">
        <v>3</v>
      </c>
      <c r="E66">
        <v>3940</v>
      </c>
      <c r="F66">
        <v>1550</v>
      </c>
      <c r="G66">
        <v>21.5</v>
      </c>
    </row>
    <row r="67" spans="1:7" x14ac:dyDescent="0.15">
      <c r="A67">
        <v>10.1</v>
      </c>
      <c r="B67">
        <v>7.9</v>
      </c>
      <c r="C67">
        <v>16.3</v>
      </c>
      <c r="D67">
        <v>-7.7</v>
      </c>
      <c r="E67">
        <v>1724</v>
      </c>
      <c r="F67">
        <v>1872</v>
      </c>
      <c r="G67">
        <v>34.423609999999996</v>
      </c>
    </row>
    <row r="68" spans="1:7" x14ac:dyDescent="0.15">
      <c r="A68">
        <v>1.1000000000000001</v>
      </c>
      <c r="B68">
        <v>1.4</v>
      </c>
      <c r="C68">
        <v>22.3</v>
      </c>
      <c r="D68">
        <v>-89.3</v>
      </c>
      <c r="E68">
        <v>8</v>
      </c>
      <c r="F68">
        <v>488</v>
      </c>
      <c r="G68">
        <v>-29.663609999999998</v>
      </c>
    </row>
    <row r="69" spans="1:7" x14ac:dyDescent="0.15">
      <c r="A69">
        <v>14.4</v>
      </c>
      <c r="B69">
        <v>10.8</v>
      </c>
      <c r="C69">
        <v>25.6</v>
      </c>
      <c r="D69">
        <v>-49.9</v>
      </c>
      <c r="E69">
        <v>1349</v>
      </c>
      <c r="F69">
        <v>1938</v>
      </c>
      <c r="G69">
        <v>1.6985140000000001</v>
      </c>
    </row>
    <row r="70" spans="1:7" x14ac:dyDescent="0.15">
      <c r="A70">
        <v>14.6</v>
      </c>
      <c r="B70">
        <v>7.9</v>
      </c>
      <c r="C70">
        <v>51.3</v>
      </c>
      <c r="D70">
        <v>-21.1</v>
      </c>
      <c r="E70">
        <v>337</v>
      </c>
      <c r="F70">
        <v>1186</v>
      </c>
      <c r="G70">
        <v>-8.4033610000000003</v>
      </c>
    </row>
    <row r="71" spans="1:7" x14ac:dyDescent="0.15">
      <c r="A71">
        <v>12.4</v>
      </c>
      <c r="B71">
        <v>6.9</v>
      </c>
      <c r="C71">
        <v>44.9</v>
      </c>
      <c r="D71">
        <v>27.4</v>
      </c>
      <c r="E71">
        <v>249</v>
      </c>
      <c r="F71">
        <v>1300</v>
      </c>
      <c r="G71">
        <v>-15.13158</v>
      </c>
    </row>
    <row r="72" spans="1:7" x14ac:dyDescent="0.15">
      <c r="A72">
        <v>11.3</v>
      </c>
      <c r="B72">
        <v>8.1999999999999993</v>
      </c>
      <c r="C72">
        <v>44.3</v>
      </c>
      <c r="D72">
        <v>18.100000000000001</v>
      </c>
      <c r="E72">
        <v>540</v>
      </c>
      <c r="F72">
        <v>1338</v>
      </c>
      <c r="G72">
        <v>-9.6</v>
      </c>
    </row>
    <row r="73" spans="1:7" x14ac:dyDescent="0.15">
      <c r="A73">
        <v>10.9</v>
      </c>
      <c r="B73">
        <v>9.5</v>
      </c>
      <c r="C73">
        <v>26.3</v>
      </c>
      <c r="D73">
        <v>-31.2</v>
      </c>
      <c r="E73">
        <v>115</v>
      </c>
      <c r="F73">
        <v>4206</v>
      </c>
      <c r="G73">
        <v>14.95327</v>
      </c>
    </row>
    <row r="74" spans="1:7" x14ac:dyDescent="0.15">
      <c r="A74">
        <v>25.4</v>
      </c>
      <c r="B74">
        <v>25.1</v>
      </c>
      <c r="C74">
        <v>1</v>
      </c>
      <c r="D74">
        <v>19.899999999999999</v>
      </c>
      <c r="E74">
        <v>122</v>
      </c>
      <c r="F74">
        <v>832</v>
      </c>
      <c r="G74">
        <v>3.125</v>
      </c>
    </row>
    <row r="75" spans="1:7" x14ac:dyDescent="0.15">
      <c r="A75">
        <v>16.8</v>
      </c>
      <c r="B75">
        <v>14.3</v>
      </c>
      <c r="C75">
        <v>17.8</v>
      </c>
      <c r="D75">
        <v>16.7</v>
      </c>
      <c r="E75">
        <v>474</v>
      </c>
      <c r="F75">
        <v>1147</v>
      </c>
      <c r="G75">
        <v>-18.76641</v>
      </c>
    </row>
    <row r="76" spans="1:7" x14ac:dyDescent="0.15">
      <c r="A76">
        <v>7.2</v>
      </c>
      <c r="B76">
        <v>7</v>
      </c>
      <c r="C76">
        <v>12</v>
      </c>
      <c r="D76">
        <v>-16.399999999999999</v>
      </c>
      <c r="E76">
        <v>395</v>
      </c>
      <c r="F76">
        <v>1278</v>
      </c>
      <c r="G76">
        <v>6.9327730000000001</v>
      </c>
    </row>
    <row r="77" spans="1:7" x14ac:dyDescent="0.15">
      <c r="A77">
        <v>18.5</v>
      </c>
      <c r="B77">
        <v>13.8</v>
      </c>
      <c r="C77">
        <v>23.7</v>
      </c>
      <c r="D77">
        <v>-8.9</v>
      </c>
      <c r="E77">
        <v>879</v>
      </c>
      <c r="F77">
        <v>1249</v>
      </c>
      <c r="G77">
        <v>-30.080480000000001</v>
      </c>
    </row>
    <row r="78" spans="1:7" x14ac:dyDescent="0.15">
      <c r="A78">
        <v>19.100000000000001</v>
      </c>
      <c r="B78">
        <v>14.8</v>
      </c>
      <c r="C78">
        <v>35.1</v>
      </c>
      <c r="D78">
        <v>-10.9</v>
      </c>
      <c r="E78">
        <v>361</v>
      </c>
      <c r="F78">
        <v>2146</v>
      </c>
      <c r="G78">
        <v>-8.7040620000000004</v>
      </c>
    </row>
    <row r="79" spans="1:7" x14ac:dyDescent="0.15">
      <c r="A79">
        <v>14.3</v>
      </c>
      <c r="B79">
        <v>11.6</v>
      </c>
      <c r="C79">
        <v>14.6</v>
      </c>
      <c r="D79">
        <v>-11.2</v>
      </c>
      <c r="E79">
        <v>265</v>
      </c>
      <c r="F79">
        <v>574</v>
      </c>
      <c r="G79">
        <v>34.627830000000003</v>
      </c>
    </row>
    <row r="80" spans="1:7" x14ac:dyDescent="0.15">
      <c r="A80">
        <v>28.8</v>
      </c>
      <c r="B80">
        <v>18.399999999999999</v>
      </c>
      <c r="C80">
        <v>33.700000000000003</v>
      </c>
      <c r="D80">
        <v>19.3</v>
      </c>
      <c r="E80">
        <v>233</v>
      </c>
      <c r="F80">
        <v>1814</v>
      </c>
      <c r="G80">
        <v>-37.443950000000001</v>
      </c>
    </row>
    <row r="81" spans="1:7" x14ac:dyDescent="0.15">
      <c r="A81">
        <v>32</v>
      </c>
      <c r="B81">
        <v>25.7</v>
      </c>
      <c r="C81">
        <v>0</v>
      </c>
      <c r="D81">
        <v>6.8</v>
      </c>
      <c r="E81">
        <v>475</v>
      </c>
      <c r="F81">
        <v>2193</v>
      </c>
      <c r="G81">
        <v>10.638299999999999</v>
      </c>
    </row>
    <row r="82" spans="1:7" x14ac:dyDescent="0.15">
      <c r="A82">
        <v>20.8</v>
      </c>
      <c r="B82">
        <v>17.899999999999999</v>
      </c>
      <c r="C82">
        <v>6.5</v>
      </c>
      <c r="D82">
        <v>13.9</v>
      </c>
      <c r="E82">
        <v>216</v>
      </c>
      <c r="F82">
        <v>778</v>
      </c>
      <c r="G82">
        <v>19.38775</v>
      </c>
    </row>
    <row r="83" spans="1:7" x14ac:dyDescent="0.15">
      <c r="A83">
        <v>30.5</v>
      </c>
      <c r="B83">
        <v>26.5</v>
      </c>
      <c r="C83">
        <v>4</v>
      </c>
      <c r="D83">
        <v>11.1</v>
      </c>
      <c r="E83">
        <v>399</v>
      </c>
      <c r="F83">
        <v>2332</v>
      </c>
      <c r="G83">
        <v>-50.314459999999997</v>
      </c>
    </row>
    <row r="84" spans="1:7" x14ac:dyDescent="0.15">
      <c r="A84">
        <v>13.4</v>
      </c>
      <c r="B84">
        <v>12.3</v>
      </c>
      <c r="C84">
        <v>2.1</v>
      </c>
      <c r="D84">
        <v>-13.1</v>
      </c>
      <c r="E84">
        <v>739</v>
      </c>
      <c r="F84">
        <v>1366</v>
      </c>
      <c r="G84">
        <v>111.37569999999999</v>
      </c>
    </row>
    <row r="85" spans="1:7" x14ac:dyDescent="0.15">
      <c r="A85">
        <v>10.8</v>
      </c>
      <c r="B85">
        <v>8.5</v>
      </c>
      <c r="C85">
        <v>20.100000000000001</v>
      </c>
      <c r="D85">
        <v>-22.9</v>
      </c>
      <c r="E85">
        <v>4150</v>
      </c>
      <c r="F85">
        <v>2011</v>
      </c>
      <c r="G85">
        <v>-21.91235</v>
      </c>
    </row>
    <row r="86" spans="1:7" x14ac:dyDescent="0.15">
      <c r="A86">
        <v>39.5</v>
      </c>
      <c r="B86">
        <v>42.9</v>
      </c>
      <c r="C86">
        <v>0</v>
      </c>
      <c r="D86">
        <v>60.9</v>
      </c>
      <c r="E86">
        <v>317</v>
      </c>
      <c r="F86">
        <v>1162</v>
      </c>
      <c r="G86">
        <v>-29.741379999999999</v>
      </c>
    </row>
    <row r="87" spans="1:7" x14ac:dyDescent="0.15">
      <c r="A87">
        <v>31.2</v>
      </c>
      <c r="B87">
        <v>27</v>
      </c>
      <c r="C87">
        <v>14.9</v>
      </c>
      <c r="D87">
        <v>81.3</v>
      </c>
      <c r="E87">
        <v>76</v>
      </c>
      <c r="F87">
        <v>267</v>
      </c>
      <c r="G87">
        <v>-44.75806</v>
      </c>
    </row>
    <row r="88" spans="1:7" x14ac:dyDescent="0.15">
      <c r="A88">
        <v>2.2000000000000002</v>
      </c>
      <c r="B88">
        <v>5.3</v>
      </c>
      <c r="C88">
        <v>45.9</v>
      </c>
      <c r="D88">
        <v>-62.4</v>
      </c>
      <c r="E88">
        <v>220</v>
      </c>
      <c r="F88">
        <v>1190</v>
      </c>
      <c r="G88">
        <v>72.92577</v>
      </c>
    </row>
    <row r="89" spans="1:7" x14ac:dyDescent="0.15">
      <c r="A89">
        <v>8.8000000000000007</v>
      </c>
      <c r="B89">
        <v>8.1999999999999993</v>
      </c>
      <c r="C89">
        <v>8.1</v>
      </c>
      <c r="D89">
        <v>90.2</v>
      </c>
      <c r="E89">
        <v>186</v>
      </c>
      <c r="F89">
        <v>1101</v>
      </c>
      <c r="G89">
        <v>-22.514620000000001</v>
      </c>
    </row>
    <row r="90" spans="1:7" x14ac:dyDescent="0.15">
      <c r="A90">
        <v>17.899999999999999</v>
      </c>
      <c r="B90">
        <v>17</v>
      </c>
      <c r="C90">
        <v>9.1</v>
      </c>
      <c r="D90">
        <v>23.9</v>
      </c>
      <c r="E90">
        <v>517</v>
      </c>
      <c r="F90">
        <v>1494</v>
      </c>
      <c r="G90">
        <v>2.5445289999999998</v>
      </c>
    </row>
    <row r="91" spans="1:7" x14ac:dyDescent="0.15">
      <c r="A91">
        <v>17.2</v>
      </c>
      <c r="B91">
        <v>11.6</v>
      </c>
      <c r="C91">
        <v>61.9</v>
      </c>
      <c r="D91">
        <v>-22.4</v>
      </c>
      <c r="E91">
        <v>460</v>
      </c>
      <c r="F91">
        <v>1500</v>
      </c>
      <c r="G91">
        <v>47.42268</v>
      </c>
    </row>
    <row r="92" spans="1:7" x14ac:dyDescent="0.15">
      <c r="A92">
        <v>14.4</v>
      </c>
      <c r="B92">
        <v>9.8000000000000007</v>
      </c>
      <c r="C92">
        <v>27.4</v>
      </c>
      <c r="D92">
        <v>-11.7</v>
      </c>
      <c r="E92">
        <v>743</v>
      </c>
      <c r="F92">
        <v>1444</v>
      </c>
      <c r="G92">
        <v>33.407080000000001</v>
      </c>
    </row>
    <row r="93" spans="1:7" x14ac:dyDescent="0.15">
      <c r="A93">
        <v>9.3000000000000007</v>
      </c>
      <c r="B93">
        <v>6.9</v>
      </c>
      <c r="C93">
        <v>36.1</v>
      </c>
      <c r="D93">
        <v>-29.3</v>
      </c>
      <c r="E93">
        <v>157</v>
      </c>
      <c r="F93">
        <v>549</v>
      </c>
      <c r="G93">
        <v>32.312919999999998</v>
      </c>
    </row>
    <row r="94" spans="1:7" x14ac:dyDescent="0.15">
      <c r="A94">
        <v>4.8</v>
      </c>
      <c r="B94">
        <v>4.4000000000000004</v>
      </c>
      <c r="C94">
        <v>50.6</v>
      </c>
      <c r="D94">
        <v>-68.7</v>
      </c>
      <c r="E94">
        <v>206</v>
      </c>
      <c r="F94">
        <v>647</v>
      </c>
      <c r="G94">
        <v>35.746600000000001</v>
      </c>
    </row>
    <row r="95" spans="1:7" x14ac:dyDescent="0.15">
      <c r="A95">
        <v>18.7</v>
      </c>
      <c r="B95">
        <v>12.9</v>
      </c>
      <c r="C95">
        <v>32.700000000000003</v>
      </c>
      <c r="D95">
        <v>-5.8</v>
      </c>
      <c r="E95">
        <v>169</v>
      </c>
      <c r="F95">
        <v>552</v>
      </c>
      <c r="G95">
        <v>-13.63636</v>
      </c>
    </row>
    <row r="96" spans="1:7" x14ac:dyDescent="0.15">
      <c r="A96">
        <v>18.5</v>
      </c>
      <c r="B96">
        <v>16.7</v>
      </c>
      <c r="C96">
        <v>18.3</v>
      </c>
      <c r="D96">
        <v>17.399999999999999</v>
      </c>
      <c r="E96">
        <v>147</v>
      </c>
      <c r="F96">
        <v>806</v>
      </c>
      <c r="G96">
        <v>40.178570000000001</v>
      </c>
    </row>
    <row r="97" spans="1:7" x14ac:dyDescent="0.15">
      <c r="A97">
        <v>47.6</v>
      </c>
      <c r="B97">
        <v>22.9</v>
      </c>
      <c r="C97">
        <v>50.9</v>
      </c>
      <c r="D97">
        <v>10.6</v>
      </c>
      <c r="E97">
        <v>341</v>
      </c>
      <c r="F97">
        <v>783</v>
      </c>
      <c r="G97">
        <v>52.417299999999997</v>
      </c>
    </row>
    <row r="98" spans="1:7" x14ac:dyDescent="0.15">
      <c r="A98">
        <v>20.2</v>
      </c>
      <c r="B98">
        <v>15.1</v>
      </c>
      <c r="C98">
        <v>20.2</v>
      </c>
      <c r="D98">
        <v>12.6</v>
      </c>
      <c r="E98">
        <v>1593</v>
      </c>
      <c r="F98">
        <v>1439</v>
      </c>
      <c r="G98">
        <v>-11.74377</v>
      </c>
    </row>
    <row r="99" spans="1:7" x14ac:dyDescent="0.15">
      <c r="A99">
        <v>8.4</v>
      </c>
      <c r="B99">
        <v>6.9</v>
      </c>
      <c r="C99">
        <v>0</v>
      </c>
      <c r="D99">
        <v>-68</v>
      </c>
      <c r="E99">
        <v>21</v>
      </c>
      <c r="F99">
        <v>740</v>
      </c>
      <c r="G99">
        <v>-44.821429999999999</v>
      </c>
    </row>
    <row r="100" spans="1:7" x14ac:dyDescent="0.15">
      <c r="A100">
        <v>15.3</v>
      </c>
      <c r="B100">
        <v>11.8</v>
      </c>
      <c r="C100">
        <v>30.6</v>
      </c>
      <c r="D100">
        <v>15.6</v>
      </c>
      <c r="E100">
        <v>502</v>
      </c>
      <c r="F100">
        <v>1033</v>
      </c>
      <c r="G100">
        <v>-84.888099999999994</v>
      </c>
    </row>
    <row r="101" spans="1:7" x14ac:dyDescent="0.15">
      <c r="A101">
        <v>12</v>
      </c>
      <c r="B101">
        <v>10.3</v>
      </c>
      <c r="C101">
        <v>21.1</v>
      </c>
      <c r="D101">
        <v>16.2</v>
      </c>
      <c r="E101">
        <v>327</v>
      </c>
      <c r="F101">
        <v>1356</v>
      </c>
      <c r="G101">
        <v>-70.295699999999997</v>
      </c>
    </row>
    <row r="102" spans="1:7" x14ac:dyDescent="0.15">
      <c r="A102">
        <v>8.8000000000000007</v>
      </c>
      <c r="B102">
        <v>6</v>
      </c>
      <c r="C102">
        <v>29.8</v>
      </c>
      <c r="D102">
        <v>-61.3</v>
      </c>
      <c r="E102">
        <v>123</v>
      </c>
      <c r="F102">
        <v>537</v>
      </c>
      <c r="G102">
        <v>-6.7669170000000003</v>
      </c>
    </row>
    <row r="103" spans="1:7" x14ac:dyDescent="0.15">
      <c r="A103">
        <v>19.399999999999999</v>
      </c>
      <c r="B103">
        <v>14</v>
      </c>
      <c r="C103">
        <v>27.4</v>
      </c>
      <c r="D103">
        <v>-0.4</v>
      </c>
      <c r="E103">
        <v>387</v>
      </c>
      <c r="F103">
        <v>1300</v>
      </c>
      <c r="G103">
        <v>22.413789999999999</v>
      </c>
    </row>
    <row r="104" spans="1:7" x14ac:dyDescent="0.15">
      <c r="A104">
        <v>2.6</v>
      </c>
      <c r="B104">
        <v>3.1</v>
      </c>
      <c r="C104">
        <v>35.4</v>
      </c>
      <c r="D104">
        <v>-88.2</v>
      </c>
      <c r="E104">
        <v>23</v>
      </c>
      <c r="F104">
        <v>1030</v>
      </c>
      <c r="G104">
        <v>17.84141</v>
      </c>
    </row>
    <row r="105" spans="1:7" x14ac:dyDescent="0.15">
      <c r="A105">
        <v>35.9</v>
      </c>
      <c r="B105">
        <v>33.5</v>
      </c>
      <c r="C105">
        <v>1.8</v>
      </c>
      <c r="D105">
        <v>20.2</v>
      </c>
      <c r="E105">
        <v>185</v>
      </c>
      <c r="F105">
        <v>1188</v>
      </c>
      <c r="G105">
        <v>22.049689999999998</v>
      </c>
    </row>
    <row r="106" spans="1:7" x14ac:dyDescent="0.15">
      <c r="A106">
        <v>19.8</v>
      </c>
      <c r="B106">
        <v>16.7</v>
      </c>
      <c r="C106">
        <v>11.9</v>
      </c>
      <c r="D106">
        <v>4.5</v>
      </c>
      <c r="E106">
        <v>184</v>
      </c>
      <c r="F106">
        <v>424</v>
      </c>
      <c r="G106">
        <v>6.4763989999999998</v>
      </c>
    </row>
    <row r="107" spans="1:7" x14ac:dyDescent="0.15">
      <c r="A107">
        <v>24.1</v>
      </c>
      <c r="B107">
        <v>9.1999999999999993</v>
      </c>
      <c r="C107">
        <v>46.3</v>
      </c>
      <c r="D107">
        <v>88.5</v>
      </c>
      <c r="E107">
        <v>265</v>
      </c>
      <c r="F107">
        <v>1283</v>
      </c>
      <c r="G107">
        <v>52.77778</v>
      </c>
    </row>
    <row r="108" spans="1:7" x14ac:dyDescent="0.15">
      <c r="A108">
        <v>3.7</v>
      </c>
      <c r="B108">
        <v>3</v>
      </c>
      <c r="C108">
        <v>32.200000000000003</v>
      </c>
      <c r="D108">
        <v>-50.1</v>
      </c>
      <c r="E108">
        <v>90</v>
      </c>
      <c r="F108">
        <v>799</v>
      </c>
      <c r="G108">
        <v>5.4830290000000002</v>
      </c>
    </row>
    <row r="109" spans="1:7" x14ac:dyDescent="0.15">
      <c r="A109">
        <v>23.8</v>
      </c>
      <c r="B109">
        <v>19.600000000000001</v>
      </c>
      <c r="C109">
        <v>13.9</v>
      </c>
      <c r="D109">
        <v>17.399999999999999</v>
      </c>
      <c r="E109">
        <v>220</v>
      </c>
      <c r="F109">
        <v>694</v>
      </c>
      <c r="G109">
        <v>-47.747750000000003</v>
      </c>
    </row>
    <row r="110" spans="1:7" x14ac:dyDescent="0.15">
      <c r="A110">
        <v>19.100000000000001</v>
      </c>
      <c r="B110">
        <v>18.100000000000001</v>
      </c>
      <c r="C110">
        <v>8.9</v>
      </c>
      <c r="D110">
        <v>10.3</v>
      </c>
      <c r="E110">
        <v>152</v>
      </c>
      <c r="F110">
        <v>598</v>
      </c>
      <c r="G110">
        <v>-20.961539999999999</v>
      </c>
    </row>
    <row r="111" spans="1:7" x14ac:dyDescent="0.15">
      <c r="A111">
        <v>27.5</v>
      </c>
      <c r="B111">
        <v>20</v>
      </c>
      <c r="C111">
        <v>44.8</v>
      </c>
      <c r="D111">
        <v>45.4</v>
      </c>
      <c r="E111">
        <v>152</v>
      </c>
      <c r="F111">
        <v>1587</v>
      </c>
      <c r="G111">
        <v>25.597270000000002</v>
      </c>
    </row>
    <row r="112" spans="1:7" x14ac:dyDescent="0.15">
      <c r="A112">
        <v>30.3</v>
      </c>
      <c r="B112">
        <v>21.7</v>
      </c>
      <c r="C112">
        <v>32.200000000000003</v>
      </c>
      <c r="D112">
        <v>20.100000000000001</v>
      </c>
      <c r="E112">
        <v>379</v>
      </c>
      <c r="F112">
        <v>1836</v>
      </c>
      <c r="G112">
        <v>-48.028680000000001</v>
      </c>
    </row>
    <row r="113" spans="1:7" x14ac:dyDescent="0.15">
      <c r="A113">
        <v>19.5</v>
      </c>
      <c r="B113">
        <v>19.2</v>
      </c>
      <c r="C113">
        <v>2.1</v>
      </c>
      <c r="D113">
        <v>6.7</v>
      </c>
      <c r="E113">
        <v>388</v>
      </c>
      <c r="F113">
        <v>1212</v>
      </c>
      <c r="G113">
        <v>-30.81232</v>
      </c>
    </row>
    <row r="114" spans="1:7" x14ac:dyDescent="0.15">
      <c r="A114">
        <v>13.8</v>
      </c>
      <c r="B114">
        <v>10.4</v>
      </c>
      <c r="C114">
        <v>34.9</v>
      </c>
      <c r="D114">
        <v>-22.5</v>
      </c>
      <c r="E114">
        <v>101</v>
      </c>
      <c r="F114">
        <v>300</v>
      </c>
      <c r="G114">
        <v>12.75168</v>
      </c>
    </row>
    <row r="115" spans="1:7" x14ac:dyDescent="0.15">
      <c r="A115">
        <v>15.6</v>
      </c>
      <c r="B115">
        <v>10.4</v>
      </c>
      <c r="C115">
        <v>28.8</v>
      </c>
      <c r="D115">
        <v>-11.7</v>
      </c>
      <c r="E115">
        <v>738</v>
      </c>
      <c r="F115">
        <v>997</v>
      </c>
      <c r="G115">
        <v>-38.659790000000001</v>
      </c>
    </row>
    <row r="116" spans="1:7" x14ac:dyDescent="0.15">
      <c r="A116">
        <v>21.2</v>
      </c>
      <c r="B116">
        <v>16.899999999999999</v>
      </c>
      <c r="C116">
        <v>12.2</v>
      </c>
      <c r="D116">
        <v>13.2</v>
      </c>
      <c r="E116">
        <v>175</v>
      </c>
      <c r="F116">
        <v>917</v>
      </c>
      <c r="G116">
        <v>-6.6844919999999997</v>
      </c>
    </row>
    <row r="117" spans="1:7" x14ac:dyDescent="0.15">
      <c r="A117">
        <v>15.6</v>
      </c>
      <c r="B117">
        <v>12.1</v>
      </c>
      <c r="C117">
        <v>25</v>
      </c>
      <c r="D117">
        <v>3.2</v>
      </c>
      <c r="E117">
        <v>226</v>
      </c>
      <c r="F117">
        <v>767</v>
      </c>
      <c r="G117">
        <v>-42.439030000000002</v>
      </c>
    </row>
    <row r="118" spans="1:7" x14ac:dyDescent="0.15">
      <c r="A118">
        <v>8.1</v>
      </c>
      <c r="B118">
        <v>5.7</v>
      </c>
      <c r="C118">
        <v>46.2</v>
      </c>
      <c r="D118">
        <v>-15.1</v>
      </c>
      <c r="E118">
        <v>128</v>
      </c>
      <c r="F118">
        <v>581</v>
      </c>
      <c r="G118">
        <v>31.693989999999999</v>
      </c>
    </row>
    <row r="119" spans="1:7" x14ac:dyDescent="0.15">
      <c r="A119">
        <v>21.1</v>
      </c>
      <c r="B119">
        <v>19.8</v>
      </c>
      <c r="C119">
        <v>4.0999999999999996</v>
      </c>
      <c r="D119">
        <v>5.2</v>
      </c>
      <c r="E119">
        <v>205</v>
      </c>
      <c r="F119">
        <v>565</v>
      </c>
      <c r="G119">
        <v>14.28571</v>
      </c>
    </row>
    <row r="120" spans="1:7" x14ac:dyDescent="0.15">
      <c r="A120">
        <v>17</v>
      </c>
      <c r="B120">
        <v>15.8</v>
      </c>
      <c r="C120">
        <v>0.2</v>
      </c>
      <c r="D120">
        <v>10.9</v>
      </c>
      <c r="E120">
        <v>125</v>
      </c>
      <c r="F120">
        <v>722</v>
      </c>
      <c r="G120">
        <v>-10.465120000000001</v>
      </c>
    </row>
    <row r="121" spans="1:7" x14ac:dyDescent="0.15">
      <c r="A121">
        <v>32.799999999999997</v>
      </c>
      <c r="B121">
        <v>30.2</v>
      </c>
      <c r="C121">
        <v>2.4</v>
      </c>
      <c r="D121">
        <v>10.4</v>
      </c>
      <c r="E121">
        <v>76</v>
      </c>
      <c r="F121">
        <v>439</v>
      </c>
      <c r="G121">
        <v>-4.6357619999999997</v>
      </c>
    </row>
    <row r="122" spans="1:7" x14ac:dyDescent="0.15">
      <c r="A122">
        <v>5.8</v>
      </c>
      <c r="B122">
        <v>8.1</v>
      </c>
      <c r="C122">
        <v>79.5</v>
      </c>
      <c r="D122">
        <v>24.3</v>
      </c>
      <c r="E122">
        <v>130</v>
      </c>
      <c r="F122">
        <v>780</v>
      </c>
      <c r="G122">
        <v>7.97546</v>
      </c>
    </row>
    <row r="123" spans="1:7" x14ac:dyDescent="0.15">
      <c r="A123">
        <v>23.7</v>
      </c>
      <c r="B123">
        <v>15.3</v>
      </c>
      <c r="C123">
        <v>31.8</v>
      </c>
      <c r="D123">
        <v>20.9</v>
      </c>
      <c r="E123">
        <v>667</v>
      </c>
      <c r="F123">
        <v>1571</v>
      </c>
      <c r="G123">
        <v>-67.5</v>
      </c>
    </row>
    <row r="124" spans="1:7" x14ac:dyDescent="0.15">
      <c r="A124">
        <v>11.9</v>
      </c>
      <c r="B124">
        <v>8.9</v>
      </c>
      <c r="C124">
        <v>6</v>
      </c>
      <c r="D124">
        <v>-30.4</v>
      </c>
      <c r="E124">
        <v>70</v>
      </c>
      <c r="F124">
        <v>526</v>
      </c>
      <c r="G124">
        <v>-8.0912869999999995</v>
      </c>
    </row>
    <row r="125" spans="1:7" x14ac:dyDescent="0.15">
      <c r="A125">
        <v>16.8</v>
      </c>
      <c r="B125">
        <v>11.2</v>
      </c>
      <c r="C125">
        <v>38.299999999999997</v>
      </c>
      <c r="D125">
        <v>11.6</v>
      </c>
      <c r="E125">
        <v>185</v>
      </c>
      <c r="F125">
        <v>752</v>
      </c>
      <c r="G125">
        <v>-22.508040000000001</v>
      </c>
    </row>
    <row r="126" spans="1:7" x14ac:dyDescent="0.15">
      <c r="A126">
        <v>15.7</v>
      </c>
      <c r="B126">
        <v>9.1999999999999993</v>
      </c>
      <c r="C126">
        <v>27.9</v>
      </c>
      <c r="D126">
        <v>7.5</v>
      </c>
      <c r="E126">
        <v>1299</v>
      </c>
      <c r="F126">
        <v>1296</v>
      </c>
      <c r="G126">
        <v>-40.625</v>
      </c>
    </row>
    <row r="127" spans="1:7" x14ac:dyDescent="0.15">
      <c r="A127">
        <v>12.1</v>
      </c>
      <c r="B127">
        <v>7.1</v>
      </c>
      <c r="C127">
        <v>34.1</v>
      </c>
      <c r="D127">
        <v>-13.8</v>
      </c>
      <c r="E127">
        <v>1134</v>
      </c>
      <c r="F127">
        <v>1289</v>
      </c>
      <c r="G127">
        <v>-55.280900000000003</v>
      </c>
    </row>
    <row r="128" spans="1:7" x14ac:dyDescent="0.15">
      <c r="A128">
        <v>25.4</v>
      </c>
      <c r="B128">
        <v>12.4</v>
      </c>
      <c r="C128">
        <v>47.7</v>
      </c>
      <c r="D128">
        <v>19.399999999999999</v>
      </c>
      <c r="E128">
        <v>280</v>
      </c>
      <c r="F128">
        <v>1264</v>
      </c>
      <c r="G128">
        <v>2.51938</v>
      </c>
    </row>
    <row r="129" spans="1:7" x14ac:dyDescent="0.15">
      <c r="A129">
        <v>14</v>
      </c>
      <c r="B129">
        <v>8.4</v>
      </c>
      <c r="C129">
        <v>30</v>
      </c>
      <c r="D129">
        <v>2.1</v>
      </c>
      <c r="E129">
        <v>1156</v>
      </c>
      <c r="F129">
        <v>960</v>
      </c>
      <c r="G129">
        <v>-43.424320000000002</v>
      </c>
    </row>
    <row r="130" spans="1:7" x14ac:dyDescent="0.15">
      <c r="A130">
        <v>12.8</v>
      </c>
      <c r="B130">
        <v>8</v>
      </c>
      <c r="C130">
        <v>27.5</v>
      </c>
      <c r="D130">
        <v>2.5</v>
      </c>
      <c r="E130">
        <v>1131</v>
      </c>
      <c r="F130">
        <v>1380</v>
      </c>
      <c r="G130">
        <v>-36.790610000000001</v>
      </c>
    </row>
    <row r="131" spans="1:7" x14ac:dyDescent="0.15">
      <c r="A131">
        <v>31.4</v>
      </c>
      <c r="B131">
        <v>29.9</v>
      </c>
      <c r="C131">
        <v>2.2000000000000002</v>
      </c>
      <c r="D131">
        <v>27.5</v>
      </c>
      <c r="E131">
        <v>191</v>
      </c>
      <c r="F131">
        <v>1222</v>
      </c>
      <c r="G131">
        <v>-52.103560000000002</v>
      </c>
    </row>
    <row r="132" spans="1:7" x14ac:dyDescent="0.15">
      <c r="A132">
        <v>39.1</v>
      </c>
      <c r="B132">
        <v>37.299999999999997</v>
      </c>
      <c r="C132">
        <v>2.8</v>
      </c>
      <c r="D132">
        <v>42.3</v>
      </c>
      <c r="E132">
        <v>267</v>
      </c>
      <c r="F132">
        <v>545</v>
      </c>
      <c r="G132">
        <v>19.399999999999999</v>
      </c>
    </row>
    <row r="133" spans="1:7" x14ac:dyDescent="0.15">
      <c r="A133">
        <v>20.2</v>
      </c>
      <c r="B133">
        <v>18.600000000000001</v>
      </c>
      <c r="C133">
        <v>10.5</v>
      </c>
      <c r="D133">
        <v>16.3</v>
      </c>
      <c r="E133">
        <v>172</v>
      </c>
      <c r="F133">
        <v>14336</v>
      </c>
      <c r="G133">
        <v>107.8947</v>
      </c>
    </row>
    <row r="134" spans="1:7" x14ac:dyDescent="0.15">
      <c r="A134">
        <v>2.1</v>
      </c>
      <c r="B134">
        <v>3.6</v>
      </c>
      <c r="C134">
        <v>37.200000000000003</v>
      </c>
      <c r="D134">
        <v>-87</v>
      </c>
      <c r="E134">
        <v>4</v>
      </c>
      <c r="F134">
        <v>889</v>
      </c>
      <c r="G134">
        <v>52.549019999999999</v>
      </c>
    </row>
    <row r="135" spans="1:7" x14ac:dyDescent="0.15">
      <c r="A135">
        <v>21</v>
      </c>
      <c r="B135">
        <v>16.7</v>
      </c>
      <c r="C135">
        <v>18.8</v>
      </c>
      <c r="D135">
        <v>19.7</v>
      </c>
      <c r="E135">
        <v>65</v>
      </c>
      <c r="F135">
        <v>653</v>
      </c>
      <c r="G135">
        <v>-27.02703</v>
      </c>
    </row>
    <row r="136" spans="1:7" x14ac:dyDescent="0.15">
      <c r="A136">
        <v>25.3</v>
      </c>
      <c r="B136">
        <v>17.399999999999999</v>
      </c>
      <c r="C136">
        <v>32.4</v>
      </c>
      <c r="D136">
        <v>26.1</v>
      </c>
      <c r="E136">
        <v>757</v>
      </c>
      <c r="F136">
        <v>1630</v>
      </c>
      <c r="G136">
        <v>-47.183100000000003</v>
      </c>
    </row>
    <row r="137" spans="1:7" x14ac:dyDescent="0.15">
      <c r="A137">
        <v>14.9</v>
      </c>
      <c r="B137">
        <v>7.6</v>
      </c>
      <c r="C137">
        <v>39.799999999999997</v>
      </c>
      <c r="D137">
        <v>16.600000000000001</v>
      </c>
      <c r="E137">
        <v>365</v>
      </c>
      <c r="F137">
        <v>334</v>
      </c>
      <c r="G137">
        <v>-55.685130000000001</v>
      </c>
    </row>
    <row r="138" spans="1:7" x14ac:dyDescent="0.15">
      <c r="A138">
        <v>12.6</v>
      </c>
      <c r="B138">
        <v>6.7</v>
      </c>
      <c r="C138">
        <v>47.3</v>
      </c>
      <c r="D138">
        <v>-15.9</v>
      </c>
      <c r="E138">
        <v>187</v>
      </c>
      <c r="F138">
        <v>447</v>
      </c>
      <c r="G138">
        <v>-23.036650000000002</v>
      </c>
    </row>
    <row r="139" spans="1:7" x14ac:dyDescent="0.15">
      <c r="A139">
        <v>12.5</v>
      </c>
      <c r="B139">
        <v>7.3</v>
      </c>
      <c r="C139">
        <v>40.4</v>
      </c>
      <c r="D139">
        <v>-3.5</v>
      </c>
      <c r="E139">
        <v>524</v>
      </c>
      <c r="F139">
        <v>732</v>
      </c>
      <c r="G139">
        <v>-9.4017099999999996</v>
      </c>
    </row>
    <row r="140" spans="1:7" x14ac:dyDescent="0.15">
      <c r="A140">
        <v>13.7</v>
      </c>
      <c r="B140">
        <v>8.6999999999999993</v>
      </c>
      <c r="C140">
        <v>42.5</v>
      </c>
      <c r="D140">
        <v>-5.7</v>
      </c>
      <c r="E140">
        <v>214</v>
      </c>
      <c r="F140">
        <v>506</v>
      </c>
      <c r="G140">
        <v>-62.857140000000001</v>
      </c>
    </row>
    <row r="141" spans="1:7" x14ac:dyDescent="0.15">
      <c r="A141">
        <v>9.1</v>
      </c>
      <c r="B141">
        <v>6.9</v>
      </c>
      <c r="C141">
        <v>47.4</v>
      </c>
      <c r="D141">
        <v>-30.1</v>
      </c>
      <c r="E141">
        <v>621</v>
      </c>
      <c r="F141">
        <v>884</v>
      </c>
      <c r="G141">
        <v>-31.330469999999998</v>
      </c>
    </row>
    <row r="142" spans="1:7" x14ac:dyDescent="0.15">
      <c r="A142">
        <v>13.7</v>
      </c>
      <c r="B142">
        <v>9.5</v>
      </c>
      <c r="C142">
        <v>37.9</v>
      </c>
      <c r="D142">
        <v>12.6</v>
      </c>
      <c r="E142">
        <v>187</v>
      </c>
      <c r="F142">
        <v>334</v>
      </c>
      <c r="G142">
        <v>-19.140630000000002</v>
      </c>
    </row>
    <row r="143" spans="1:7" x14ac:dyDescent="0.15">
      <c r="A143">
        <v>37</v>
      </c>
      <c r="B143">
        <v>15.7</v>
      </c>
      <c r="C143">
        <v>53.9</v>
      </c>
      <c r="D143">
        <v>45.1</v>
      </c>
      <c r="E143">
        <v>3523</v>
      </c>
      <c r="F143">
        <v>1316</v>
      </c>
      <c r="G143">
        <v>38.13814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7CDE-D303-884A-8F45-E23978A0813E}">
  <dimension ref="A1:H8"/>
  <sheetViews>
    <sheetView workbookViewId="0">
      <selection sqref="A1:H8"/>
    </sheetView>
  </sheetViews>
  <sheetFormatPr baseColWidth="10" defaultRowHeight="13" x14ac:dyDescent="0.15"/>
  <sheetData>
    <row r="1" spans="1:8" x14ac:dyDescent="0.15">
      <c r="A1" s="4"/>
      <c r="B1" s="4" t="s">
        <v>0</v>
      </c>
      <c r="C1" s="4" t="s">
        <v>7</v>
      </c>
      <c r="D1" s="4" t="s">
        <v>1</v>
      </c>
      <c r="E1" s="4" t="s">
        <v>2</v>
      </c>
      <c r="F1" s="4" t="s">
        <v>3</v>
      </c>
      <c r="G1" s="4" t="s">
        <v>8</v>
      </c>
      <c r="H1" s="4" t="s">
        <v>6</v>
      </c>
    </row>
    <row r="2" spans="1:8" x14ac:dyDescent="0.15">
      <c r="A2" s="2" t="s">
        <v>0</v>
      </c>
      <c r="B2" s="14">
        <v>1</v>
      </c>
      <c r="C2" s="14"/>
      <c r="D2" s="14"/>
      <c r="E2" s="14"/>
      <c r="F2" s="14"/>
      <c r="G2" s="14"/>
      <c r="H2" s="14"/>
    </row>
    <row r="3" spans="1:8" x14ac:dyDescent="0.15">
      <c r="A3" s="2" t="s">
        <v>7</v>
      </c>
      <c r="B3" s="14">
        <v>0.90343467392809207</v>
      </c>
      <c r="C3" s="14">
        <v>1</v>
      </c>
      <c r="D3" s="14"/>
      <c r="E3" s="14"/>
      <c r="F3" s="14"/>
      <c r="G3" s="14"/>
      <c r="H3" s="14"/>
    </row>
    <row r="4" spans="1:8" x14ac:dyDescent="0.15">
      <c r="A4" s="2" t="s">
        <v>1</v>
      </c>
      <c r="B4" s="14">
        <v>-0.25394633916984966</v>
      </c>
      <c r="C4" s="14">
        <v>-0.50354484549160472</v>
      </c>
      <c r="D4" s="14">
        <v>1</v>
      </c>
      <c r="E4" s="14"/>
      <c r="F4" s="14"/>
      <c r="G4" s="14"/>
      <c r="H4" s="14"/>
    </row>
    <row r="5" spans="1:8" x14ac:dyDescent="0.15">
      <c r="A5" s="2" t="s">
        <v>2</v>
      </c>
      <c r="B5" s="14">
        <v>0.52009168795814376</v>
      </c>
      <c r="C5" s="14">
        <v>0.51871103405926211</v>
      </c>
      <c r="D5" s="14">
        <v>-0.13965673692537378</v>
      </c>
      <c r="E5" s="14">
        <v>1</v>
      </c>
      <c r="F5" s="14"/>
      <c r="G5" s="14"/>
      <c r="H5" s="14"/>
    </row>
    <row r="6" spans="1:8" x14ac:dyDescent="0.15">
      <c r="A6" s="2" t="s">
        <v>3</v>
      </c>
      <c r="B6" s="14">
        <v>0.15970403436617245</v>
      </c>
      <c r="C6" s="14">
        <v>3.5321248510422981E-2</v>
      </c>
      <c r="D6" s="14">
        <v>7.8671974960092761E-2</v>
      </c>
      <c r="E6" s="14">
        <v>9.7638521495663169E-2</v>
      </c>
      <c r="F6" s="14">
        <v>1</v>
      </c>
      <c r="G6" s="14"/>
      <c r="H6" s="14"/>
    </row>
    <row r="7" spans="1:8" x14ac:dyDescent="0.15">
      <c r="A7" s="2" t="s">
        <v>8</v>
      </c>
      <c r="B7" s="14">
        <v>0.14579170671744293</v>
      </c>
      <c r="C7" s="14">
        <v>0.14198101881122452</v>
      </c>
      <c r="D7" s="14">
        <v>-2.2625497853812442E-2</v>
      </c>
      <c r="E7" s="14">
        <v>0.12395475240089669</v>
      </c>
      <c r="F7" s="14">
        <v>0.18257196935589398</v>
      </c>
      <c r="G7" s="14">
        <v>1</v>
      </c>
      <c r="H7" s="14"/>
    </row>
    <row r="8" spans="1:8" ht="14" thickBot="1" x14ac:dyDescent="0.2">
      <c r="A8" s="3" t="s">
        <v>6</v>
      </c>
      <c r="B8" s="15">
        <v>-0.14277081075838702</v>
      </c>
      <c r="C8" s="15">
        <v>-0.11433433008501358</v>
      </c>
      <c r="D8" s="15">
        <v>0.11854349725816693</v>
      </c>
      <c r="E8" s="15">
        <v>3.5603441764328711E-2</v>
      </c>
      <c r="F8" s="15">
        <v>-5.3592212024870245E-2</v>
      </c>
      <c r="G8" s="15">
        <v>0.12230656537129077</v>
      </c>
      <c r="H8" s="15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2908-BAB4-8740-ABBC-4A129C254DFB}">
  <dimension ref="A1:C24"/>
  <sheetViews>
    <sheetView tabSelected="1" workbookViewId="0">
      <selection activeCell="D20" sqref="D20"/>
    </sheetView>
  </sheetViews>
  <sheetFormatPr baseColWidth="10" defaultRowHeight="13" x14ac:dyDescent="0.15"/>
  <sheetData>
    <row r="1" spans="1:3" x14ac:dyDescent="0.15">
      <c r="A1" s="7" t="s">
        <v>41</v>
      </c>
      <c r="B1" s="7" t="s">
        <v>42</v>
      </c>
      <c r="C1" s="7" t="s">
        <v>43</v>
      </c>
    </row>
    <row r="2" spans="1:3" x14ac:dyDescent="0.15">
      <c r="A2" s="6" t="s">
        <v>44</v>
      </c>
      <c r="B2" s="13">
        <f>Regression_Base_Output!B5</f>
        <v>7.3999515053730605E-2</v>
      </c>
      <c r="C2" s="13">
        <f>Regression_log_Output!B5</f>
        <v>6.5003820868135526E-2</v>
      </c>
    </row>
    <row r="3" spans="1:3" x14ac:dyDescent="0.15">
      <c r="A3" s="6" t="s">
        <v>45</v>
      </c>
      <c r="B3" s="13">
        <f>Regression_Base_Output!B6</f>
        <v>3.284393794500752E-2</v>
      </c>
      <c r="C3" s="13">
        <f>Regression_log_Output!B6</f>
        <v>2.3448435128941552E-2</v>
      </c>
    </row>
    <row r="4" spans="1:3" x14ac:dyDescent="0.15">
      <c r="A4" s="6" t="s">
        <v>46</v>
      </c>
      <c r="B4" s="13">
        <f>Regression_Base_Output!E12</f>
        <v>1.7980434306203941</v>
      </c>
      <c r="C4" s="13">
        <f>Regression_log_Output!E12</f>
        <v>1.5642694613907913</v>
      </c>
    </row>
    <row r="5" spans="1:3" x14ac:dyDescent="0.15">
      <c r="A5" s="6" t="s">
        <v>47</v>
      </c>
      <c r="B5" s="13">
        <f>Regression_Base_Output!F12</f>
        <v>0.10400244894873452</v>
      </c>
      <c r="C5" s="13">
        <f>Regression_log_Output!F12</f>
        <v>0.16228003847518635</v>
      </c>
    </row>
    <row r="7" spans="1:3" x14ac:dyDescent="0.15">
      <c r="A7" s="7" t="s">
        <v>52</v>
      </c>
      <c r="B7" s="7"/>
      <c r="C7" s="7"/>
    </row>
    <row r="8" spans="1:3" x14ac:dyDescent="0.15">
      <c r="A8" s="7" t="s">
        <v>35</v>
      </c>
      <c r="B8" s="7" t="s">
        <v>48</v>
      </c>
      <c r="C8" s="7" t="s">
        <v>49</v>
      </c>
    </row>
    <row r="9" spans="1:3" x14ac:dyDescent="0.15">
      <c r="A9" s="6" t="s">
        <v>20</v>
      </c>
      <c r="B9" s="13">
        <f>Regression_Base_Output!B17</f>
        <v>-6.707352581477009</v>
      </c>
      <c r="C9" s="13">
        <f>Regression_log_Output!B17</f>
        <v>-41.23971997520681</v>
      </c>
    </row>
    <row r="10" spans="1:3" x14ac:dyDescent="0.15">
      <c r="A10" s="6" t="s">
        <v>0</v>
      </c>
      <c r="B10" s="13">
        <f>Regression_Base_Output!B18</f>
        <v>-1.6597503414196073</v>
      </c>
      <c r="C10" s="13">
        <f>Regression_log_Output!B18</f>
        <v>-1.6770583370937282</v>
      </c>
    </row>
    <row r="11" spans="1:3" x14ac:dyDescent="0.15">
      <c r="A11" s="6" t="s">
        <v>7</v>
      </c>
      <c r="B11" s="13">
        <f>Regression_Base_Output!B19</f>
        <v>1.3166143317599459</v>
      </c>
      <c r="C11" s="13">
        <f>Regression_log_Output!B19</f>
        <v>1.3961535560294516</v>
      </c>
    </row>
    <row r="12" spans="1:3" x14ac:dyDescent="0.15">
      <c r="A12" s="6" t="s">
        <v>1</v>
      </c>
      <c r="B12" s="13">
        <f>Regression_Base_Output!B20</f>
        <v>0.40218825290743326</v>
      </c>
      <c r="C12" s="13">
        <f>Regression_log_Output!B20</f>
        <v>0.4137320544902639</v>
      </c>
    </row>
    <row r="13" spans="1:3" x14ac:dyDescent="0.15">
      <c r="A13" s="6" t="s">
        <v>2</v>
      </c>
      <c r="B13" s="13">
        <f>Regression_Base_Output!B21</f>
        <v>0.1153575555577086</v>
      </c>
      <c r="C13" s="13">
        <f>Regression_log_Output!B21</f>
        <v>0.12739681706256872</v>
      </c>
    </row>
    <row r="14" spans="1:3" x14ac:dyDescent="0.15">
      <c r="A14" s="6" t="s">
        <v>50</v>
      </c>
      <c r="B14" s="13">
        <f>Regression_Base_Output!B22</f>
        <v>-2.6239102547445567E-3</v>
      </c>
      <c r="C14" s="13">
        <f>Regression_log_Output!B22</f>
        <v>-2.7714078363804919</v>
      </c>
    </row>
    <row r="15" spans="1:3" x14ac:dyDescent="0.15">
      <c r="A15" s="6" t="s">
        <v>51</v>
      </c>
      <c r="B15" s="13">
        <f>Regression_Base_Output!B23</f>
        <v>3.6502348642611735E-3</v>
      </c>
      <c r="C15" s="13">
        <f>Regression_log_Output!B23</f>
        <v>7.5429107410886331</v>
      </c>
    </row>
    <row r="17" spans="1:3" x14ac:dyDescent="0.15">
      <c r="A17" s="7" t="s">
        <v>53</v>
      </c>
    </row>
    <row r="18" spans="1:3" x14ac:dyDescent="0.15">
      <c r="A18" s="7" t="s">
        <v>35</v>
      </c>
      <c r="B18" s="7" t="s">
        <v>48</v>
      </c>
      <c r="C18" s="7" t="s">
        <v>49</v>
      </c>
    </row>
    <row r="19" spans="1:3" x14ac:dyDescent="0.15">
      <c r="A19" s="6" t="s">
        <v>0</v>
      </c>
      <c r="B19" s="13">
        <f>Regression_Base_Output!E18</f>
        <v>8.558335695476689E-2</v>
      </c>
      <c r="C19" s="13">
        <f>Regression_log_Output!E18</f>
        <v>8.366324918681721E-2</v>
      </c>
    </row>
    <row r="20" spans="1:3" x14ac:dyDescent="0.15">
      <c r="A20" s="6" t="s">
        <v>7</v>
      </c>
      <c r="B20" s="13">
        <f>Regression_Base_Output!E19</f>
        <v>0.33140986162374919</v>
      </c>
      <c r="C20" s="13">
        <f>Regression_log_Output!E19</f>
        <v>0.30011434153688998</v>
      </c>
    </row>
    <row r="21" spans="1:3" x14ac:dyDescent="0.15">
      <c r="A21" s="6" t="s">
        <v>1</v>
      </c>
      <c r="B21" s="13">
        <f>Regression_Base_Output!E20</f>
        <v>0.14212186475650163</v>
      </c>
      <c r="C21" s="13">
        <f>Regression_log_Output!E20</f>
        <v>0.13212800460229604</v>
      </c>
    </row>
    <row r="22" spans="1:3" x14ac:dyDescent="0.15">
      <c r="A22" s="6" t="s">
        <v>2</v>
      </c>
      <c r="B22" s="13">
        <f>Regression_Base_Output!E21</f>
        <v>0.20273164795707416</v>
      </c>
      <c r="C22" s="13">
        <f>Regression_log_Output!E21</f>
        <v>0.16566271024718462</v>
      </c>
    </row>
    <row r="23" spans="1:3" x14ac:dyDescent="0.15">
      <c r="A23" s="6" t="s">
        <v>50</v>
      </c>
      <c r="B23" s="13">
        <f>Regression_Base_Output!E22</f>
        <v>0.58731950478292672</v>
      </c>
      <c r="C23" s="13">
        <f>Regression_log_Output!E22</f>
        <v>0.42871948624116718</v>
      </c>
    </row>
    <row r="24" spans="1:3" x14ac:dyDescent="0.15">
      <c r="A24" s="6" t="s">
        <v>51</v>
      </c>
      <c r="B24" s="13">
        <f>Regression_Base_Output!E23</f>
        <v>9.6692797332795233E-2</v>
      </c>
      <c r="C24" s="13">
        <f>Regression_log_Output!E23</f>
        <v>0.23156654583360822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549CB-370D-2146-90A8-B72DB67A1D12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990A-9F65-7D40-AA97-8DE8F706A1D0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</vt:lpstr>
      <vt:lpstr>Revised_Data</vt:lpstr>
      <vt:lpstr>Regression_Base_Output</vt:lpstr>
      <vt:lpstr>log_Transformed_Data</vt:lpstr>
      <vt:lpstr>Histograms</vt:lpstr>
      <vt:lpstr>Regression_log_Output</vt:lpstr>
      <vt:lpstr>Summary_stats</vt:lpstr>
      <vt:lpstr>Formatted_Data</vt:lpstr>
      <vt:lpstr>Correlation_Matrix</vt:lpstr>
      <vt:lpstr>Regression_Comparison</vt:lpstr>
      <vt:lpstr>Sheet7</vt:lpstr>
      <vt:lpstr>Regression_log</vt:lpstr>
    </vt:vector>
  </TitlesOfParts>
  <Company>msu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nrc</dc:creator>
  <cp:lastModifiedBy>Siddarth Venkat</cp:lastModifiedBy>
  <dcterms:created xsi:type="dcterms:W3CDTF">2002-07-10T16:15:08Z</dcterms:created>
  <dcterms:modified xsi:type="dcterms:W3CDTF">2026-04-02T10:02:41Z</dcterms:modified>
</cp:coreProperties>
</file>